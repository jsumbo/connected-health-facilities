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Process Map" sheetId="1" r:id="rId5"/>
    <sheet state="visible" name="1. Data - Facilities" sheetId="2" r:id="rId6"/>
    <sheet state="visible" name="2. Data - Literacy Tests" sheetId="3" r:id="rId7"/>
    <sheet state="visible" name="3. Data - Staff Sentiment" sheetId="4" r:id="rId8"/>
    <sheet state="visible" name="4. Aggregate - Literacy" sheetId="5" r:id="rId9"/>
    <sheet state="visible" name="5. Aggregate - Sentiment" sheetId="6" r:id="rId10"/>
    <sheet state="visible" name="6. Scoring Engine" sheetId="7" r:id="rId11"/>
    <sheet state="visible" name="7. Facility Scorecards" sheetId="8" r:id="rId12"/>
    <sheet state="visible" name="8. County Summary" sheetId="9" r:id="rId13"/>
    <sheet state="visible" name="9. Cluster Summary" sheetId="10" r:id="rId14"/>
    <sheet state="visible" name="10. Blocker Register" sheetId="11" r:id="rId15"/>
  </sheets>
  <definedNames>
    <definedName hidden="1" localSheetId="2" name="_xlnm._FilterDatabase">'2. Data - Literacy Tests'!$A$1:$D$166</definedName>
  </definedNames>
  <calcPr/>
</workbook>
</file>

<file path=xl/sharedStrings.xml><?xml version="1.0" encoding="utf-8"?>
<sst xmlns="http://schemas.openxmlformats.org/spreadsheetml/2006/main" count="2426" uniqueCount="292">
  <si>
    <t>Master Facility Readiness Scores</t>
  </si>
  <si>
    <t>Every score below is computed by a live formula that traces back to the raw field data. Nothing is hand-typed.</t>
  </si>
  <si>
    <t>STEP 1: DATASETS (raw, as collected)</t>
  </si>
  <si>
    <t xml:space="preserve">  Sheet 1 · Data - Facilities</t>
  </si>
  <si>
    <t>37 facility records</t>
  </si>
  <si>
    <t>Key indicators extracted from the 645-column General Assessment</t>
  </si>
  <si>
    <t xml:space="preserve">  Sheet 2 · Data - Literacy Tests</t>
  </si>
  <si>
    <t>162 staff tests</t>
  </si>
  <si>
    <t>Digital Literacy Assessment, scored 0–100 (Google Forms)</t>
  </si>
  <si>
    <t xml:space="preserve">  Sheet 3 · Data - Staff Sentiment</t>
  </si>
  <si>
    <t>186 staff responses</t>
  </si>
  <si>
    <t>Staff Sentiment Survey (anonymous, KoboToolbox)</t>
  </si>
  <si>
    <t>STEP 2: CLEAN &amp; AGGREGATE (manual process made visible)</t>
  </si>
  <si>
    <t xml:space="preserve">  Sheet 4 · Aggregate - Literacy</t>
  </si>
  <si>
    <t>COUNTIF / AVERAGEIF</t>
  </si>
  <si>
    <t>Mean DLA score &amp; respondent count per facility, from Sheet 2</t>
  </si>
  <si>
    <t xml:space="preserve">  Sheet 5 · Aggregate - Sentiment</t>
  </si>
  <si>
    <t>Mean enthusiasm &amp; count per facility, from Sheet 3</t>
  </si>
  <si>
    <t>STEP 3: SCORE (the engine — open any cell to see the formula)</t>
  </si>
  <si>
    <t xml:space="preserve">  Sheet 6 · Scoring Engine</t>
  </si>
  <si>
    <t>nested IF formulas</t>
  </si>
  <si>
    <t>Pulls raw inputs + aggregates → 6 domain scores (0–3) → 6 blocker flags → composite → tier</t>
  </si>
  <si>
    <t>STEP 4: PRESENT &amp; ROLL UP</t>
  </si>
  <si>
    <t xml:space="preserve">  Sheet 7 · Facility Scorecards</t>
  </si>
  <si>
    <t>references Sheet 6</t>
  </si>
  <si>
    <t>Ranked, colour-coded scorecard for each facility</t>
  </si>
  <si>
    <t xml:space="preserve">  Sheet 8 · County Summary</t>
  </si>
  <si>
    <t>COUNTIFS / AVERAGEIF</t>
  </si>
  <si>
    <t>Tier mix &amp; domain averages by county</t>
  </si>
  <si>
    <t xml:space="preserve">  Sheet 9 · Cluster Summary</t>
  </si>
  <si>
    <t>Tier mix &amp; domain averages by field cluster</t>
  </si>
  <si>
    <t xml:space="preserve">  Sheet 10 · Blocker Register</t>
  </si>
  <si>
    <t>Every blocked facility + remediation pathway</t>
  </si>
  <si>
    <t>HEADLINE (live — counts the tiers on Sheet 7)</t>
  </si>
  <si>
    <t>Tier 1 — HOS-Ready</t>
  </si>
  <si>
    <t>Tier 2 — Eligible w/ targeted investment</t>
  </si>
  <si>
    <t>Tier 3 — Not deployment-ready (blocked)</t>
  </si>
  <si>
    <t>Mean composite (of 100)</t>
  </si>
  <si>
    <t>Facilities scored</t>
  </si>
  <si>
    <t>Facility</t>
  </si>
  <si>
    <t>County</t>
  </si>
  <si>
    <t>Type</t>
  </si>
  <si>
    <t>Lat</t>
  </si>
  <si>
    <t>Lon</t>
  </si>
  <si>
    <t>Power source</t>
  </si>
  <si>
    <t>Outage hrs/wk</t>
  </si>
  <si>
    <t>UPS</t>
  </si>
  <si>
    <t>Backup system</t>
  </si>
  <si>
    <t>Internet type</t>
  </si>
  <si>
    <t>Download Mbps</t>
  </si>
  <si>
    <t>Upload Mbps</t>
  </si>
  <si>
    <t>Uptime %</t>
  </si>
  <si>
    <t>Latency</t>
  </si>
  <si>
    <t>Mobile signal</t>
  </si>
  <si>
    <t>Laptops</t>
  </si>
  <si>
    <t>Desktops</t>
  </si>
  <si>
    <t>Tablets</t>
  </si>
  <si>
    <t>Networking devices</t>
  </si>
  <si>
    <t>In-survey literacy %</t>
  </si>
  <si>
    <t>Health Centerian documents?</t>
  </si>
  <si>
    <t>Dedicated IT support?</t>
  </si>
  <si>
    <t>Support channel (Ops)</t>
  </si>
  <si>
    <t>Record method</t>
  </si>
  <si>
    <t>On-time reporting</t>
  </si>
  <si>
    <t>Client ID</t>
  </si>
  <si>
    <t>DHIS2 reporting</t>
  </si>
  <si>
    <t>Operational?</t>
  </si>
  <si>
    <t>Bahn Health Center</t>
  </si>
  <si>
    <t>Nimba</t>
  </si>
  <si>
    <t>Health Center</t>
  </si>
  <si>
    <t>Grid</t>
  </si>
  <si>
    <t>Generator only</t>
  </si>
  <si>
    <t>Starlink</t>
  </si>
  <si>
    <t>Low / stable (&lt;80ms)</t>
  </si>
  <si>
    <t>Weak (-85 to -100 dBm)</t>
  </si>
  <si>
    <t>Some Health Centerians</t>
  </si>
  <si>
    <t>No</t>
  </si>
  <si>
    <t>Exists but inconsistent usage</t>
  </si>
  <si>
    <t>Paper only</t>
  </si>
  <si>
    <t>&gt;=90% on time</t>
  </si>
  <si>
    <t>Yes - routinely</t>
  </si>
  <si>
    <t>Yes - consistently</t>
  </si>
  <si>
    <t>Yes</t>
  </si>
  <si>
    <t>Barnersville HC</t>
  </si>
  <si>
    <t>Montserrado</t>
  </si>
  <si>
    <t>Some workstations</t>
  </si>
  <si>
    <t>Multiple backup systems (specify below)</t>
  </si>
  <si>
    <t>No - No Health Centerian</t>
  </si>
  <si>
    <t>Integrated and routine</t>
  </si>
  <si>
    <t>Boegeezay Health Center</t>
  </si>
  <si>
    <t>River Cess</t>
  </si>
  <si>
    <t>Solar / Inverter</t>
  </si>
  <si>
    <t>All critical workstations</t>
  </si>
  <si>
    <t>Bromely Community Health Center</t>
  </si>
  <si>
    <t>Moderate (-70 to -85 dBm)</t>
  </si>
  <si>
    <t>Chocolate City HC</t>
  </si>
  <si>
    <t>Solar / Inverter only</t>
  </si>
  <si>
    <t>Clara Town Health Center</t>
  </si>
  <si>
    <t>Cotton Tree Health Center</t>
  </si>
  <si>
    <t>Margibi</t>
  </si>
  <si>
    <t>70-89% on time</t>
  </si>
  <si>
    <t>Damballa Health Center</t>
  </si>
  <si>
    <t>Grand Cape Mount</t>
  </si>
  <si>
    <t>&lt;70% on time</t>
  </si>
  <si>
    <t>Dolo's Town Health Center</t>
  </si>
  <si>
    <t>Strong (above -70 dBm)</t>
  </si>
  <si>
    <t>Dr. Agnes Varis Health Center</t>
  </si>
  <si>
    <t>Duport Road Health Center</t>
  </si>
  <si>
    <t>Generator</t>
  </si>
  <si>
    <t>Yes - part time / shared</t>
  </si>
  <si>
    <t>Foya  Health Center</t>
  </si>
  <si>
    <t>Lofa</t>
  </si>
  <si>
    <t>None (below -100 dBm or no signal)</t>
  </si>
  <si>
    <t>GW Harley Hospital</t>
  </si>
  <si>
    <t>Hospital</t>
  </si>
  <si>
    <t>Garzon Health Center</t>
  </si>
  <si>
    <t>Gbarzon Health Center</t>
  </si>
  <si>
    <t>Grand Gedeh</t>
  </si>
  <si>
    <t>Gbeapo Health Center</t>
  </si>
  <si>
    <t>River Gee</t>
  </si>
  <si>
    <t>3G Wi-Fi Starlink</t>
  </si>
  <si>
    <t>No unique ID</t>
  </si>
  <si>
    <t>J N Davies Hospital</t>
  </si>
  <si>
    <t>High / unstable (&gt;200ms)</t>
  </si>
  <si>
    <t>JJ Dossen Hospital</t>
  </si>
  <si>
    <t>Maryland</t>
  </si>
  <si>
    <t>3G 4G Starlink</t>
  </si>
  <si>
    <t>Hybrid (paper + digital)</t>
  </si>
  <si>
    <t>Kakata Health Center</t>
  </si>
  <si>
    <t>4G</t>
  </si>
  <si>
    <t>Yes - Inconsistently</t>
  </si>
  <si>
    <t>Karnplay Health Center</t>
  </si>
  <si>
    <t>Konia Health Center</t>
  </si>
  <si>
    <t>Konobo Health Center</t>
  </si>
  <si>
    <t>Lofa Bridge Health Center</t>
  </si>
  <si>
    <t>Marshall Health Center</t>
  </si>
  <si>
    <t>Massaquoi Town Health Center</t>
  </si>
  <si>
    <t>New Georgia Community Health Center</t>
  </si>
  <si>
    <t>Nyehn Health Center</t>
  </si>
  <si>
    <t>Moderate (80-200ms)</t>
  </si>
  <si>
    <t>Pipeline Health Center</t>
  </si>
  <si>
    <t>Pleebo Health Center</t>
  </si>
  <si>
    <t>3G 4G Starlink Wi-Fi</t>
  </si>
  <si>
    <t>Partially</t>
  </si>
  <si>
    <t>RH Ferguson Health Center</t>
  </si>
  <si>
    <t>Sacleapea Comprehensive Health Center</t>
  </si>
  <si>
    <t>Sarbo Health Center</t>
  </si>
  <si>
    <t>Sinje Health Center</t>
  </si>
  <si>
    <t>Soniwen Health Center</t>
  </si>
  <si>
    <t>Unification Town Health Center</t>
  </si>
  <si>
    <t>Vahun Health Center</t>
  </si>
  <si>
    <t>WAHO  Health Center</t>
  </si>
  <si>
    <t>Facility (standardised)</t>
  </si>
  <si>
    <t>Role</t>
  </si>
  <si>
    <t>Score /100</t>
  </si>
  <si>
    <t>Record Officer / Data Clerk / Registrar</t>
  </si>
  <si>
    <t>Administrative / Management (HR, Logistics, Finance, etc.)</t>
  </si>
  <si>
    <t>Supply chain coordinator</t>
  </si>
  <si>
    <t>Nurse / Midwife</t>
  </si>
  <si>
    <t>Lab / Pharmacy Staff</t>
  </si>
  <si>
    <t>Officer-In-Charge / Doctor / Medical Officer / Health Centeral Officer</t>
  </si>
  <si>
    <t>Operations (Warehouse Assistant)</t>
  </si>
  <si>
    <t>ER Supervisor</t>
  </si>
  <si>
    <t>Community Health Worker</t>
  </si>
  <si>
    <t>Store room clerk</t>
  </si>
  <si>
    <t>Janitor</t>
  </si>
  <si>
    <t>Procurement officer</t>
  </si>
  <si>
    <t>ER Nurse</t>
  </si>
  <si>
    <t>Screener</t>
  </si>
  <si>
    <t>Nurse/Vaccinator</t>
  </si>
  <si>
    <t>Vaccinator</t>
  </si>
  <si>
    <t>Social Worker</t>
  </si>
  <si>
    <t>IT / Technical Officer</t>
  </si>
  <si>
    <t>Director of Nursing</t>
  </si>
  <si>
    <t>Nurse Aide</t>
  </si>
  <si>
    <t>Nurse Aid</t>
  </si>
  <si>
    <t>Maternal Child Health</t>
  </si>
  <si>
    <t>RN and Supervisor for triage department</t>
  </si>
  <si>
    <t>Nurse and TB focus person</t>
  </si>
  <si>
    <t>Lab Student</t>
  </si>
  <si>
    <t>Physician Assistant</t>
  </si>
  <si>
    <t>Store Manager</t>
  </si>
  <si>
    <t>Nursing Directress</t>
  </si>
  <si>
    <t>Screener, store room keeper, TB focal person</t>
  </si>
  <si>
    <t>HIV Focal Person</t>
  </si>
  <si>
    <t>BSN/Screener</t>
  </si>
  <si>
    <t>Environmental Health Technician</t>
  </si>
  <si>
    <t>Maintenance/Housing Officer</t>
  </si>
  <si>
    <t>Mental Health Health Centerian/Screener</t>
  </si>
  <si>
    <t>Social Worker/Nurse Aide</t>
  </si>
  <si>
    <t>Enthusiasm 0–10</t>
  </si>
  <si>
    <t>Mgmt support</t>
  </si>
  <si>
    <t>Documentation experience</t>
  </si>
  <si>
    <t>Last training</t>
  </si>
  <si>
    <t>Not engaged</t>
  </si>
  <si>
    <t>Burdensome - A significant burden that takes time away from patients</t>
  </si>
  <si>
    <t>Never</t>
  </si>
  <si>
    <t>Actively driving adoption</t>
  </si>
  <si>
    <t>Neutral - It is manageable alongside my Health Centeral duties</t>
  </si>
  <si>
    <t>More than 1 year ago</t>
  </si>
  <si>
    <t>It's useful — It enables us deliver better care</t>
  </si>
  <si>
    <t>Tolerable - It takes too long but I accept it is necessary</t>
  </si>
  <si>
    <t>Partially engaged</t>
  </si>
  <si>
    <t>Within the last year</t>
  </si>
  <si>
    <t>Other</t>
  </si>
  <si>
    <t>Within the last 6 months</t>
  </si>
  <si>
    <t>N/A - Not Applicable</t>
  </si>
  <si>
    <t>DLA tests (n)</t>
  </si>
  <si>
    <t xml:space="preserve">Mean DLA % </t>
  </si>
  <si>
    <t>Confidence</t>
  </si>
  <si>
    <t>Surveys (n)</t>
  </si>
  <si>
    <t>Mean enthusiasm 0–10</t>
  </si>
  <si>
    <t>Power src</t>
  </si>
  <si>
    <t>Outage/wk</t>
  </si>
  <si>
    <t>Backup</t>
  </si>
  <si>
    <t>Internet</t>
  </si>
  <si>
    <t>Download</t>
  </si>
  <si>
    <t>Upload</t>
  </si>
  <si>
    <t>Uptime</t>
  </si>
  <si>
    <t>Mobile sig</t>
  </si>
  <si>
    <t>Net dev</t>
  </si>
  <si>
    <t>In-survey lit</t>
  </si>
  <si>
    <t>Health Centerian doc</t>
  </si>
  <si>
    <t>IT support</t>
  </si>
  <si>
    <t>Support chan</t>
  </si>
  <si>
    <t>On-time rep</t>
  </si>
  <si>
    <t>DHIS2 rep</t>
  </si>
  <si>
    <t>Operational</t>
  </si>
  <si>
    <t>DLA mean</t>
  </si>
  <si>
    <t>DLA n</t>
  </si>
  <si>
    <t>Enthus mean</t>
  </si>
  <si>
    <t>Sent n</t>
  </si>
  <si>
    <t>Eff. literacy</t>
  </si>
  <si>
    <t>Device total</t>
  </si>
  <si>
    <t>Download band</t>
  </si>
  <si>
    <t>D-POW</t>
  </si>
  <si>
    <t>D-CON</t>
  </si>
  <si>
    <t>D-ICT</t>
  </si>
  <si>
    <t>D-DIG</t>
  </si>
  <si>
    <t>D-SEN</t>
  </si>
  <si>
    <t>D-DAT</t>
  </si>
  <si>
    <t>BLK-01</t>
  </si>
  <si>
    <t>BLK-02</t>
  </si>
  <si>
    <t>BLK-03</t>
  </si>
  <si>
    <t>BLK-04</t>
  </si>
  <si>
    <t>BLK-05</t>
  </si>
  <si>
    <t>BLK-06</t>
  </si>
  <si>
    <t># Blockers</t>
  </si>
  <si>
    <t>Blocker list</t>
  </si>
  <si>
    <t>Blocker exp</t>
  </si>
  <si>
    <t>COMPOSITE</t>
  </si>
  <si>
    <t>TIER</t>
  </si>
  <si>
    <t>WAVE</t>
  </si>
  <si>
    <t>Rank</t>
  </si>
  <si>
    <t>Cluster</t>
  </si>
  <si>
    <t>Power
22%</t>
  </si>
  <si>
    <t>Conn
18%</t>
  </si>
  <si>
    <t>ICT
13%</t>
  </si>
  <si>
    <t>DigLit
22%</t>
  </si>
  <si>
    <t>Sentmt
15%</t>
  </si>
  <si>
    <t>Data
10%</t>
  </si>
  <si>
    <t>Composite</t>
  </si>
  <si>
    <t>Tier</t>
  </si>
  <si>
    <t>Wave</t>
  </si>
  <si>
    <t>Blockers</t>
  </si>
  <si>
    <t>Blockers exp</t>
  </si>
  <si>
    <t>DLA %</t>
  </si>
  <si>
    <t>Facilities</t>
  </si>
  <si>
    <t>Avg Composite</t>
  </si>
  <si>
    <t>Tier 1</t>
  </si>
  <si>
    <t>Tier 2</t>
  </si>
  <si>
    <t>Tier 3</t>
  </si>
  <si>
    <t>Avg POW</t>
  </si>
  <si>
    <t>Avg CON</t>
  </si>
  <si>
    <t>Avg ICT</t>
  </si>
  <si>
    <t>Avg DIG</t>
  </si>
  <si>
    <t>Avg SEN</t>
  </si>
  <si>
    <t>Avg DAT</t>
  </si>
  <si>
    <t>NATIONAL</t>
  </si>
  <si>
    <t>Southeast</t>
  </si>
  <si>
    <t>Blocker(s)</t>
  </si>
  <si>
    <t>Remediation pathway</t>
  </si>
  <si>
    <t>Assign or share IT support across &lt;=5 facilities (in-scope)</t>
  </si>
  <si>
    <t>Re-establish DHIS2 reporting; data-clerk support (in-scope); Assign or share IT support across &lt;=5 facilities (in-scope)</t>
  </si>
  <si>
    <t>Re-establish DHIS2 reporting; data-clerk support (in-scope)</t>
  </si>
  <si>
    <t>Device procurement per service point; Assign or share IT support across &lt;=5 facilities (in-scope)</t>
  </si>
  <si>
    <t>Device procurement per service point</t>
  </si>
  <si>
    <t>Fixed connectivity / offline-first tooling (procurement)</t>
  </si>
  <si>
    <t>Fixed connectivity / offline-first tooling (procurement); Assign or share IT support across &lt;=5 facilities (in-scope)</t>
  </si>
  <si>
    <t>Device procurement per service point; Re-establish DHIS2 reporting; data-clerk support (in-scope); Assign or share IT support across &lt;=5 facilities (in-scope)</t>
  </si>
  <si>
    <t>Fixed connectivity / offline-first tooling (procurement); Device procurement per service point; Re-establish DHIS2 reporting; data-clerk support (in-scope); Assign or share IT support across &lt;=5 facilities (in-scope)</t>
  </si>
  <si>
    <t>Solar/grid + UPS (procurement); Device procurement per service point; Assign or share IT support across &lt;=5 facilities (in-scope)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</si>
</sst>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ndara"/>
    </font>
    <font>
      <b/>
      <sz val="15.0"/>
      <color rgb="FF1F3A5F"/>
      <name val="Candara"/>
    </font>
    <font>
      <i/>
      <sz val="10.0"/>
      <color rgb="FF555555"/>
      <name val="Candara"/>
    </font>
    <font>
      <b/>
      <sz val="10.0"/>
      <color rgb="FFFFFFFF"/>
      <name val="Candara"/>
    </font>
    <font>
      <b/>
      <sz val="10.0"/>
      <color rgb="FF1F3A5F"/>
      <name val="Candara"/>
    </font>
    <font>
      <sz val="9.0"/>
      <color rgb="FF000000"/>
      <name val="Candara"/>
    </font>
    <font>
      <b/>
      <sz val="10.0"/>
      <color rgb="FF2BA8A0"/>
      <name val="Candara"/>
    </font>
    <font>
      <b/>
      <sz val="10.0"/>
      <color rgb="FF000000"/>
      <name val="Candara"/>
    </font>
    <font>
      <sz val="10.0"/>
      <color rgb="FF000000"/>
      <name val="Candara"/>
    </font>
    <font>
      <b/>
      <sz val="9.0"/>
      <color rgb="FF000000"/>
      <name val="Candara"/>
    </font>
    <font>
      <b/>
      <sz val="8.0"/>
      <color rgb="FFFFFFFF"/>
      <name val="Candara"/>
    </font>
    <font>
      <sz val="8.0"/>
      <color rgb="FF000000"/>
      <name val="Candara"/>
    </font>
    <font>
      <b/>
      <sz val="9.0"/>
      <color theme="1"/>
      <name val="Candara"/>
    </font>
  </fonts>
  <fills count="18">
    <fill>
      <patternFill patternType="none"/>
    </fill>
    <fill>
      <patternFill patternType="lightGray"/>
    </fill>
    <fill>
      <patternFill patternType="solid">
        <fgColor rgb="FF2BA8A0"/>
        <bgColor rgb="FF2BA8A0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D9EAD3"/>
        <bgColor rgb="FFD9EAD3"/>
      </patternFill>
    </fill>
    <fill>
      <patternFill patternType="solid">
        <fgColor rgb="FFF4C7C3"/>
        <bgColor rgb="FFF4C7C3"/>
      </patternFill>
    </fill>
    <fill>
      <patternFill patternType="solid">
        <fgColor rgb="FF1F3A5F"/>
        <bgColor rgb="FF1F3A5F"/>
      </patternFill>
    </fill>
    <fill>
      <patternFill patternType="solid">
        <fgColor rgb="FFFFF7E6"/>
        <bgColor rgb="FFFFF7E6"/>
      </patternFill>
    </fill>
    <fill>
      <patternFill patternType="solid">
        <fgColor rgb="FFF7F9FB"/>
        <bgColor rgb="FFF7F9FB"/>
      </patternFill>
    </fill>
    <fill>
      <patternFill patternType="solid">
        <fgColor rgb="FFEAF4F3"/>
        <bgColor rgb="FFEAF4F3"/>
      </patternFill>
    </fill>
    <fill>
      <patternFill patternType="solid">
        <fgColor rgb="FF6E7B8B"/>
        <bgColor rgb="FF6E7B8B"/>
      </patternFill>
    </fill>
    <fill>
      <patternFill patternType="solid">
        <fgColor rgb="FF4E8C86"/>
        <bgColor rgb="FF4E8C86"/>
      </patternFill>
    </fill>
    <fill>
      <patternFill patternType="solid">
        <fgColor rgb="FFB07A2E"/>
        <bgColor rgb="FFB07A2E"/>
      </patternFill>
    </fill>
    <fill>
      <patternFill patternType="solid">
        <fgColor rgb="FF8A3B3B"/>
        <bgColor rgb="FF8A3B3B"/>
      </patternFill>
    </fill>
    <fill>
      <patternFill patternType="solid">
        <fgColor rgb="FFEAF0F6"/>
        <bgColor rgb="FFEAF0F6"/>
      </patternFill>
    </fill>
    <fill>
      <patternFill patternType="solid">
        <fgColor rgb="FFE5F5F3"/>
        <bgColor rgb="FFE5F5F3"/>
      </patternFill>
    </fill>
    <fill>
      <patternFill patternType="solid">
        <fgColor rgb="FFEEF2F5"/>
        <bgColor rgb="FFEEF2F5"/>
      </patternFill>
    </fill>
  </fills>
  <borders count="2">
    <border/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bottom" wrapText="0"/>
    </xf>
    <xf borderId="1" fillId="5" fontId="8" numFmtId="0" xfId="0" applyAlignment="1" applyBorder="1" applyFill="1" applyFont="1">
      <alignment horizontal="left" shrinkToFit="0" vertical="center" wrapText="1"/>
    </xf>
    <xf borderId="1" fillId="6" fontId="8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ont="1">
      <alignment horizontal="center" shrinkToFit="0" vertical="center" wrapText="0"/>
    </xf>
    <xf borderId="1" fillId="8" fontId="6" numFmtId="0" xfId="0" applyAlignment="1" applyBorder="1" applyFont="1">
      <alignment horizontal="center" readingOrder="0" shrinkToFit="0" vertical="center" wrapText="0"/>
    </xf>
    <xf borderId="1" fillId="8" fontId="6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0"/>
    </xf>
    <xf borderId="1" fillId="9" fontId="10" numFmtId="0" xfId="0" applyAlignment="1" applyBorder="1" applyFill="1" applyFont="1">
      <alignment horizontal="left" shrinkToFit="0" vertical="center" wrapText="1"/>
    </xf>
    <xf borderId="1" fillId="10" fontId="6" numFmtId="0" xfId="0" applyAlignment="1" applyBorder="1" applyFill="1" applyFont="1">
      <alignment horizontal="center" shrinkToFit="0" vertical="center" wrapText="0"/>
    </xf>
    <xf borderId="1" fillId="7" fontId="11" numFmtId="0" xfId="0" applyAlignment="1" applyBorder="1" applyFont="1">
      <alignment horizontal="center" shrinkToFit="0" vertical="center" wrapText="1"/>
    </xf>
    <xf borderId="1" fillId="11" fontId="11" numFmtId="0" xfId="0" applyAlignment="1" applyBorder="1" applyFill="1" applyFont="1">
      <alignment horizontal="center" shrinkToFit="0" vertical="center" wrapText="1"/>
    </xf>
    <xf borderId="1" fillId="11" fontId="11" numFmtId="0" xfId="0" applyAlignment="1" applyBorder="1" applyFont="1">
      <alignment horizontal="center" readingOrder="0" shrinkToFit="0" vertical="center" wrapText="1"/>
    </xf>
    <xf borderId="1" fillId="12" fontId="11" numFmtId="0" xfId="0" applyAlignment="1" applyBorder="1" applyFill="1" applyFont="1">
      <alignment horizontal="center" shrinkToFit="0" vertical="center" wrapText="1"/>
    </xf>
    <xf borderId="1" fillId="13" fontId="11" numFmtId="0" xfId="0" applyAlignment="1" applyBorder="1" applyFill="1" applyFont="1">
      <alignment horizontal="center" shrinkToFit="0" vertical="center" wrapText="1"/>
    </xf>
    <xf borderId="1" fillId="14" fontId="11" numFmtId="0" xfId="0" applyAlignment="1" applyBorder="1" applyFill="1" applyFont="1">
      <alignment horizontal="center" shrinkToFit="0" vertical="center" wrapText="1"/>
    </xf>
    <xf borderId="1" fillId="14" fontId="11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0"/>
    </xf>
    <xf borderId="1" fillId="10" fontId="12" numFmtId="0" xfId="0" applyAlignment="1" applyBorder="1" applyFont="1">
      <alignment horizontal="center" shrinkToFit="0" vertical="center" wrapText="0"/>
    </xf>
    <xf borderId="1" fillId="8" fontId="12" numFmtId="0" xfId="0" applyAlignment="1" applyBorder="1" applyFont="1">
      <alignment horizontal="center" shrinkToFit="0" vertical="center" wrapText="0"/>
    </xf>
    <xf borderId="1" fillId="15" fontId="12" numFmtId="0" xfId="0" applyAlignment="1" applyBorder="1" applyFill="1" applyFont="1">
      <alignment horizontal="center" shrinkToFit="0" vertical="center" wrapText="0"/>
    </xf>
    <xf borderId="1" fillId="16" fontId="12" numFmtId="0" xfId="0" applyAlignment="1" applyBorder="1" applyFill="1" applyFont="1">
      <alignment horizontal="center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17" fontId="10" numFmtId="0" xfId="0" applyAlignment="1" applyBorder="1" applyFill="1" applyFont="1">
      <alignment horizontal="left" shrinkToFit="0" vertical="center" wrapText="1"/>
    </xf>
    <xf borderId="1" fillId="17" fontId="10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0"/>
    </xf>
    <xf borderId="1" fillId="6" fontId="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6.0"/>
    <col customWidth="1" min="3" max="3" width="2.0"/>
    <col customWidth="1" min="4" max="4" width="18.14"/>
    <col customWidth="1" min="5" max="5" width="55.86"/>
    <col customWidth="1" min="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3</v>
      </c>
      <c r="C6" s="1"/>
      <c r="D6" s="6" t="s">
        <v>4</v>
      </c>
      <c r="E6" s="7" t="s">
        <v>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6</v>
      </c>
      <c r="C7" s="1"/>
      <c r="D7" s="8" t="s">
        <v>7</v>
      </c>
      <c r="E7" s="9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9</v>
      </c>
      <c r="C8" s="1"/>
      <c r="D8" s="6" t="s">
        <v>10</v>
      </c>
      <c r="E8" s="7" t="s">
        <v>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13</v>
      </c>
      <c r="C10" s="1"/>
      <c r="D10" s="6" t="s">
        <v>14</v>
      </c>
      <c r="E10" s="7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16</v>
      </c>
      <c r="C11" s="1"/>
      <c r="D11" s="6" t="s">
        <v>14</v>
      </c>
      <c r="E11" s="7" t="s">
        <v>17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19</v>
      </c>
      <c r="C13" s="1"/>
      <c r="D13" s="6" t="s">
        <v>20</v>
      </c>
      <c r="E13" s="7" t="s">
        <v>21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 t="s">
        <v>23</v>
      </c>
      <c r="C15" s="1"/>
      <c r="D15" s="6" t="s">
        <v>24</v>
      </c>
      <c r="E15" s="7" t="s">
        <v>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 t="s">
        <v>26</v>
      </c>
      <c r="C16" s="1"/>
      <c r="D16" s="6" t="s">
        <v>27</v>
      </c>
      <c r="E16" s="7" t="s">
        <v>28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 t="s">
        <v>29</v>
      </c>
      <c r="C17" s="1"/>
      <c r="D17" s="6" t="s">
        <v>27</v>
      </c>
      <c r="E17" s="7" t="s">
        <v>30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 t="s">
        <v>31</v>
      </c>
      <c r="C18" s="1"/>
      <c r="D18" s="6" t="s">
        <v>24</v>
      </c>
      <c r="E18" s="7" t="s">
        <v>32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" t="s">
        <v>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 t="s">
        <v>34</v>
      </c>
      <c r="C21" s="1"/>
      <c r="D21" s="12">
        <f>COUNTIF('7. Facility Scorecards'!M:M,"Tier 1")</f>
        <v>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3" t="s">
        <v>35</v>
      </c>
      <c r="C22" s="1"/>
      <c r="D22" s="12">
        <f>COUNTIF('7. Facility Scorecards'!M:M,"Tier 2")</f>
        <v>13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4" t="s">
        <v>36</v>
      </c>
      <c r="C23" s="1"/>
      <c r="D23" s="12">
        <f>COUNTIF('7. Facility Scorecards'!M:M,"Tier 3")</f>
        <v>23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5" t="s">
        <v>37</v>
      </c>
      <c r="C24" s="1"/>
      <c r="D24" s="12">
        <f>ROUND(AVERAGE('7. Facility Scorecards'!L2:L38),1)</f>
        <v>59.1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5" t="s">
        <v>38</v>
      </c>
      <c r="C25" s="1"/>
      <c r="D25" s="12">
        <f>COUNTA('7. Facility Scorecards'!B2:B38)</f>
        <v>37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3" width="12.0"/>
    <col customWidth="1" min="4" max="5" width="9.0"/>
    <col customWidth="1" min="6" max="6" width="11.0"/>
    <col customWidth="1" min="7" max="7" width="9.0"/>
    <col customWidth="1" min="8" max="8" width="11.0"/>
    <col customWidth="1" min="9" max="9" width="15.0"/>
    <col customWidth="1" min="10" max="10" width="11.0"/>
    <col customWidth="1" min="11" max="12" width="9.0"/>
    <col customWidth="1" min="13" max="13" width="8.0"/>
    <col customWidth="1" min="14" max="14" width="12.0"/>
    <col customWidth="1" min="15" max="15" width="16.0"/>
    <col customWidth="1" min="16" max="18" width="8.0"/>
    <col customWidth="1" min="19" max="20" width="11.0"/>
    <col customWidth="1" min="21" max="22" width="12.0"/>
    <col customWidth="1" min="23" max="23" width="14.0"/>
    <col customWidth="1" min="24" max="25" width="12.0"/>
    <col customWidth="1" min="26" max="26" width="11.0"/>
    <col customWidth="1" min="27" max="27" width="12.0"/>
    <col customWidth="1" min="28" max="28" width="10.0"/>
  </cols>
  <sheetData>
    <row r="1" ht="42.0" customHeight="1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54</v>
      </c>
      <c r="Q1" s="16" t="s">
        <v>55</v>
      </c>
      <c r="R1" s="16" t="s">
        <v>56</v>
      </c>
      <c r="S1" s="16" t="s">
        <v>57</v>
      </c>
      <c r="T1" s="16" t="s">
        <v>58</v>
      </c>
      <c r="U1" s="17" t="s">
        <v>59</v>
      </c>
      <c r="V1" s="16" t="s">
        <v>60</v>
      </c>
      <c r="W1" s="16" t="s">
        <v>61</v>
      </c>
      <c r="X1" s="16" t="s">
        <v>62</v>
      </c>
      <c r="Y1" s="16" t="s">
        <v>63</v>
      </c>
      <c r="Z1" s="16" t="s">
        <v>64</v>
      </c>
      <c r="AA1" s="16" t="s">
        <v>65</v>
      </c>
      <c r="AB1" s="16" t="s">
        <v>66</v>
      </c>
    </row>
    <row r="2">
      <c r="A2" s="18" t="s">
        <v>67</v>
      </c>
      <c r="B2" s="18" t="s">
        <v>68</v>
      </c>
      <c r="C2" s="18" t="s">
        <v>69</v>
      </c>
      <c r="D2" s="19">
        <v>7.03</v>
      </c>
      <c r="E2" s="19">
        <v>-8.73</v>
      </c>
      <c r="F2" s="19" t="s">
        <v>70</v>
      </c>
      <c r="G2" s="19">
        <v>16.0</v>
      </c>
      <c r="H2" s="19"/>
      <c r="I2" s="19" t="s">
        <v>71</v>
      </c>
      <c r="J2" s="19" t="s">
        <v>72</v>
      </c>
      <c r="K2" s="19">
        <v>195.41</v>
      </c>
      <c r="L2" s="19">
        <v>16.03</v>
      </c>
      <c r="M2" s="19">
        <v>99.0</v>
      </c>
      <c r="N2" s="19" t="s">
        <v>73</v>
      </c>
      <c r="O2" s="19" t="s">
        <v>74</v>
      </c>
      <c r="P2" s="19">
        <v>3.0</v>
      </c>
      <c r="Q2" s="19">
        <v>0.0</v>
      </c>
      <c r="R2" s="19">
        <v>0.0</v>
      </c>
      <c r="S2" s="19">
        <v>4.0</v>
      </c>
      <c r="T2" s="19">
        <v>72.0</v>
      </c>
      <c r="U2" s="20" t="s">
        <v>75</v>
      </c>
      <c r="V2" s="19" t="s">
        <v>76</v>
      </c>
      <c r="W2" s="19" t="s">
        <v>77</v>
      </c>
      <c r="X2" s="19" t="s">
        <v>78</v>
      </c>
      <c r="Y2" s="19" t="s">
        <v>79</v>
      </c>
      <c r="Z2" s="19" t="s">
        <v>80</v>
      </c>
      <c r="AA2" s="19" t="s">
        <v>81</v>
      </c>
      <c r="AB2" s="19" t="s">
        <v>82</v>
      </c>
    </row>
    <row r="3">
      <c r="A3" s="18" t="s">
        <v>83</v>
      </c>
      <c r="B3" s="18" t="s">
        <v>84</v>
      </c>
      <c r="C3" s="18" t="s">
        <v>69</v>
      </c>
      <c r="D3" s="19">
        <v>6.37</v>
      </c>
      <c r="E3" s="19">
        <v>-10.73</v>
      </c>
      <c r="F3" s="19" t="s">
        <v>70</v>
      </c>
      <c r="G3" s="19">
        <v>3.99</v>
      </c>
      <c r="H3" s="19" t="s">
        <v>85</v>
      </c>
      <c r="I3" s="19" t="s">
        <v>86</v>
      </c>
      <c r="J3" s="19"/>
      <c r="K3" s="19"/>
      <c r="L3" s="19"/>
      <c r="M3" s="19"/>
      <c r="N3" s="19"/>
      <c r="O3" s="19" t="s">
        <v>74</v>
      </c>
      <c r="P3" s="19">
        <v>1.0</v>
      </c>
      <c r="Q3" s="19">
        <v>1.0</v>
      </c>
      <c r="R3" s="19">
        <v>1.0</v>
      </c>
      <c r="S3" s="19">
        <v>1.0</v>
      </c>
      <c r="T3" s="19">
        <v>78.0</v>
      </c>
      <c r="U3" s="20" t="s">
        <v>87</v>
      </c>
      <c r="V3" s="19" t="s">
        <v>76</v>
      </c>
      <c r="W3" s="19" t="s">
        <v>88</v>
      </c>
      <c r="X3" s="19" t="s">
        <v>78</v>
      </c>
      <c r="Y3" s="19" t="s">
        <v>79</v>
      </c>
      <c r="Z3" s="19" t="s">
        <v>80</v>
      </c>
      <c r="AA3" s="19" t="s">
        <v>81</v>
      </c>
      <c r="AB3" s="19" t="s">
        <v>82</v>
      </c>
    </row>
    <row r="4">
      <c r="A4" s="18" t="s">
        <v>89</v>
      </c>
      <c r="B4" s="18" t="s">
        <v>90</v>
      </c>
      <c r="C4" s="18" t="s">
        <v>69</v>
      </c>
      <c r="D4" s="19">
        <v>6.15</v>
      </c>
      <c r="E4" s="19">
        <v>-9.32</v>
      </c>
      <c r="F4" s="19" t="s">
        <v>91</v>
      </c>
      <c r="G4" s="19">
        <v>24.0</v>
      </c>
      <c r="H4" s="19" t="s">
        <v>92</v>
      </c>
      <c r="I4" s="19"/>
      <c r="J4" s="19"/>
      <c r="K4" s="19"/>
      <c r="L4" s="19"/>
      <c r="M4" s="19"/>
      <c r="N4" s="19"/>
      <c r="O4" s="19" t="s">
        <v>74</v>
      </c>
      <c r="P4" s="19">
        <v>1.0</v>
      </c>
      <c r="Q4" s="19">
        <v>0.0</v>
      </c>
      <c r="R4" s="19">
        <v>1.0</v>
      </c>
      <c r="S4" s="19">
        <v>0.0</v>
      </c>
      <c r="T4" s="19">
        <v>74.0</v>
      </c>
      <c r="U4" s="20" t="s">
        <v>87</v>
      </c>
      <c r="V4" s="19" t="s">
        <v>76</v>
      </c>
      <c r="W4" s="19" t="s">
        <v>88</v>
      </c>
      <c r="X4" s="19" t="s">
        <v>78</v>
      </c>
      <c r="Y4" s="19" t="s">
        <v>79</v>
      </c>
      <c r="Z4" s="19" t="s">
        <v>80</v>
      </c>
      <c r="AA4" s="19" t="s">
        <v>81</v>
      </c>
      <c r="AB4" s="19" t="s">
        <v>82</v>
      </c>
    </row>
    <row r="5">
      <c r="A5" s="18" t="s">
        <v>93</v>
      </c>
      <c r="B5" s="18" t="s">
        <v>84</v>
      </c>
      <c r="C5" s="18" t="s">
        <v>69</v>
      </c>
      <c r="D5" s="19">
        <v>6.41</v>
      </c>
      <c r="E5" s="19">
        <v>-10.74</v>
      </c>
      <c r="F5" s="19"/>
      <c r="G5" s="19">
        <v>0.0</v>
      </c>
      <c r="H5" s="19"/>
      <c r="I5" s="19"/>
      <c r="J5" s="19"/>
      <c r="K5" s="19"/>
      <c r="L5" s="19"/>
      <c r="M5" s="19"/>
      <c r="N5" s="19"/>
      <c r="O5" s="19" t="s">
        <v>94</v>
      </c>
      <c r="P5" s="19">
        <v>0.0</v>
      </c>
      <c r="Q5" s="19">
        <v>0.0</v>
      </c>
      <c r="R5" s="19">
        <v>0.0</v>
      </c>
      <c r="S5" s="19">
        <v>0.0</v>
      </c>
      <c r="T5" s="19">
        <v>73.0</v>
      </c>
      <c r="U5" s="20" t="s">
        <v>87</v>
      </c>
      <c r="V5" s="19" t="s">
        <v>76</v>
      </c>
      <c r="W5" s="19"/>
      <c r="X5" s="19" t="s">
        <v>78</v>
      </c>
      <c r="Y5" s="19" t="s">
        <v>79</v>
      </c>
      <c r="Z5" s="19" t="s">
        <v>80</v>
      </c>
      <c r="AA5" s="19" t="s">
        <v>81</v>
      </c>
      <c r="AB5" s="19" t="s">
        <v>82</v>
      </c>
    </row>
    <row r="6">
      <c r="A6" s="18" t="s">
        <v>95</v>
      </c>
      <c r="B6" s="18" t="s">
        <v>84</v>
      </c>
      <c r="C6" s="18" t="s">
        <v>69</v>
      </c>
      <c r="D6" s="19">
        <v>6.33</v>
      </c>
      <c r="E6" s="19">
        <v>-10.75</v>
      </c>
      <c r="F6" s="19" t="s">
        <v>70</v>
      </c>
      <c r="G6" s="19">
        <v>15.0</v>
      </c>
      <c r="H6" s="19"/>
      <c r="I6" s="19" t="s">
        <v>96</v>
      </c>
      <c r="J6" s="19"/>
      <c r="K6" s="19"/>
      <c r="L6" s="19"/>
      <c r="M6" s="19"/>
      <c r="N6" s="19"/>
      <c r="O6" s="19" t="s">
        <v>74</v>
      </c>
      <c r="P6" s="19">
        <v>1.0</v>
      </c>
      <c r="Q6" s="19">
        <v>0.0</v>
      </c>
      <c r="R6" s="19">
        <v>0.0</v>
      </c>
      <c r="S6" s="19">
        <v>0.0</v>
      </c>
      <c r="T6" s="19">
        <v>74.0</v>
      </c>
      <c r="U6" s="20" t="s">
        <v>87</v>
      </c>
      <c r="V6" s="19" t="s">
        <v>76</v>
      </c>
      <c r="W6" s="19" t="s">
        <v>88</v>
      </c>
      <c r="X6" s="19" t="s">
        <v>78</v>
      </c>
      <c r="Y6" s="19" t="s">
        <v>79</v>
      </c>
      <c r="Z6" s="19" t="s">
        <v>80</v>
      </c>
      <c r="AA6" s="19" t="s">
        <v>81</v>
      </c>
      <c r="AB6" s="19" t="s">
        <v>82</v>
      </c>
    </row>
    <row r="7">
      <c r="A7" s="18" t="s">
        <v>97</v>
      </c>
      <c r="B7" s="18" t="s">
        <v>84</v>
      </c>
      <c r="C7" s="18" t="s">
        <v>69</v>
      </c>
      <c r="D7" s="19">
        <v>6.33</v>
      </c>
      <c r="E7" s="19">
        <v>-10.8</v>
      </c>
      <c r="F7" s="19" t="s">
        <v>70</v>
      </c>
      <c r="G7" s="19">
        <v>28.0</v>
      </c>
      <c r="H7" s="19"/>
      <c r="I7" s="19" t="s">
        <v>71</v>
      </c>
      <c r="J7" s="19"/>
      <c r="K7" s="19"/>
      <c r="L7" s="19"/>
      <c r="M7" s="19"/>
      <c r="N7" s="19"/>
      <c r="O7" s="19" t="s">
        <v>74</v>
      </c>
      <c r="P7" s="19">
        <v>1.0</v>
      </c>
      <c r="Q7" s="19">
        <v>2.0</v>
      </c>
      <c r="R7" s="19">
        <v>0.0</v>
      </c>
      <c r="S7" s="19">
        <v>0.0</v>
      </c>
      <c r="T7" s="19">
        <v>72.0</v>
      </c>
      <c r="U7" s="20" t="s">
        <v>87</v>
      </c>
      <c r="V7" s="19" t="s">
        <v>76</v>
      </c>
      <c r="W7" s="19" t="s">
        <v>88</v>
      </c>
      <c r="X7" s="19" t="s">
        <v>78</v>
      </c>
      <c r="Y7" s="19" t="s">
        <v>79</v>
      </c>
      <c r="Z7" s="19" t="s">
        <v>80</v>
      </c>
      <c r="AA7" s="19" t="s">
        <v>81</v>
      </c>
      <c r="AB7" s="19" t="s">
        <v>82</v>
      </c>
    </row>
    <row r="8">
      <c r="A8" s="18" t="s">
        <v>98</v>
      </c>
      <c r="B8" s="18" t="s">
        <v>99</v>
      </c>
      <c r="C8" s="18" t="s">
        <v>69</v>
      </c>
      <c r="D8" s="19">
        <v>6.29</v>
      </c>
      <c r="E8" s="19">
        <v>-10.33</v>
      </c>
      <c r="F8" s="19" t="s">
        <v>70</v>
      </c>
      <c r="G8" s="19">
        <v>12.0</v>
      </c>
      <c r="H8" s="19"/>
      <c r="I8" s="19" t="s">
        <v>71</v>
      </c>
      <c r="J8" s="19"/>
      <c r="K8" s="19"/>
      <c r="L8" s="19"/>
      <c r="M8" s="19"/>
      <c r="N8" s="19"/>
      <c r="O8" s="19" t="s">
        <v>94</v>
      </c>
      <c r="P8" s="19">
        <v>0.0</v>
      </c>
      <c r="Q8" s="19">
        <v>0.0</v>
      </c>
      <c r="R8" s="19">
        <v>0.0</v>
      </c>
      <c r="S8" s="19">
        <v>0.0</v>
      </c>
      <c r="T8" s="19">
        <v>77.0</v>
      </c>
      <c r="U8" s="20" t="s">
        <v>87</v>
      </c>
      <c r="V8" s="19" t="s">
        <v>76</v>
      </c>
      <c r="W8" s="19"/>
      <c r="X8" s="19" t="s">
        <v>78</v>
      </c>
      <c r="Y8" s="19" t="s">
        <v>100</v>
      </c>
      <c r="Z8" s="19" t="s">
        <v>80</v>
      </c>
      <c r="AA8" s="19" t="s">
        <v>81</v>
      </c>
      <c r="AB8" s="19" t="s">
        <v>82</v>
      </c>
    </row>
    <row r="9">
      <c r="A9" s="18" t="s">
        <v>101</v>
      </c>
      <c r="B9" s="18" t="s">
        <v>102</v>
      </c>
      <c r="C9" s="18" t="s">
        <v>69</v>
      </c>
      <c r="D9" s="19">
        <v>7.14</v>
      </c>
      <c r="E9" s="19">
        <v>-11.28</v>
      </c>
      <c r="F9" s="19" t="s">
        <v>91</v>
      </c>
      <c r="G9" s="19">
        <v>8.0</v>
      </c>
      <c r="H9" s="19"/>
      <c r="I9" s="19"/>
      <c r="J9" s="19"/>
      <c r="K9" s="19"/>
      <c r="L9" s="19"/>
      <c r="M9" s="19"/>
      <c r="N9" s="19"/>
      <c r="O9" s="19" t="s">
        <v>74</v>
      </c>
      <c r="P9" s="19">
        <v>1.0</v>
      </c>
      <c r="Q9" s="19">
        <v>0.0</v>
      </c>
      <c r="R9" s="19">
        <v>0.0</v>
      </c>
      <c r="S9" s="19">
        <v>0.0</v>
      </c>
      <c r="T9" s="19">
        <v>60.0</v>
      </c>
      <c r="U9" s="20" t="s">
        <v>87</v>
      </c>
      <c r="V9" s="19" t="s">
        <v>76</v>
      </c>
      <c r="W9" s="19"/>
      <c r="X9" s="19" t="s">
        <v>78</v>
      </c>
      <c r="Y9" s="19" t="s">
        <v>103</v>
      </c>
      <c r="Z9" s="19" t="s">
        <v>80</v>
      </c>
      <c r="AA9" s="19" t="s">
        <v>81</v>
      </c>
      <c r="AB9" s="19" t="s">
        <v>82</v>
      </c>
    </row>
    <row r="10">
      <c r="A10" s="18" t="s">
        <v>104</v>
      </c>
      <c r="B10" s="18" t="s">
        <v>99</v>
      </c>
      <c r="C10" s="18" t="s">
        <v>69</v>
      </c>
      <c r="D10" s="19">
        <v>6.25</v>
      </c>
      <c r="E10" s="19">
        <v>-10.36</v>
      </c>
      <c r="F10" s="19" t="s">
        <v>70</v>
      </c>
      <c r="G10" s="19">
        <v>12.0</v>
      </c>
      <c r="H10" s="19"/>
      <c r="I10" s="19" t="s">
        <v>71</v>
      </c>
      <c r="J10" s="19"/>
      <c r="K10" s="19"/>
      <c r="L10" s="19"/>
      <c r="M10" s="19"/>
      <c r="N10" s="19"/>
      <c r="O10" s="19" t="s">
        <v>105</v>
      </c>
      <c r="P10" s="19">
        <v>4.0</v>
      </c>
      <c r="Q10" s="19">
        <v>0.0</v>
      </c>
      <c r="R10" s="19">
        <v>1.0</v>
      </c>
      <c r="S10" s="19">
        <v>0.0</v>
      </c>
      <c r="T10" s="19">
        <v>67.0</v>
      </c>
      <c r="U10" s="20" t="s">
        <v>87</v>
      </c>
      <c r="V10" s="19" t="s">
        <v>76</v>
      </c>
      <c r="W10" s="19"/>
      <c r="X10" s="19" t="s">
        <v>78</v>
      </c>
      <c r="Y10" s="19" t="s">
        <v>79</v>
      </c>
      <c r="Z10" s="19" t="s">
        <v>80</v>
      </c>
      <c r="AA10" s="19" t="s">
        <v>81</v>
      </c>
      <c r="AB10" s="19" t="s">
        <v>82</v>
      </c>
    </row>
    <row r="11">
      <c r="A11" s="18" t="s">
        <v>106</v>
      </c>
      <c r="B11" s="18" t="s">
        <v>84</v>
      </c>
      <c r="C11" s="21" t="s">
        <v>69</v>
      </c>
      <c r="D11" s="19">
        <v>6.25</v>
      </c>
      <c r="E11" s="19">
        <v>-10.68</v>
      </c>
      <c r="F11" s="19" t="s">
        <v>70</v>
      </c>
      <c r="G11" s="19">
        <v>18.0</v>
      </c>
      <c r="H11" s="19"/>
      <c r="I11" s="19" t="s">
        <v>96</v>
      </c>
      <c r="J11" s="19"/>
      <c r="K11" s="19"/>
      <c r="L11" s="19"/>
      <c r="M11" s="19"/>
      <c r="N11" s="19"/>
      <c r="O11" s="19" t="s">
        <v>105</v>
      </c>
      <c r="P11" s="19">
        <v>1.0</v>
      </c>
      <c r="Q11" s="19">
        <v>0.0</v>
      </c>
      <c r="R11" s="19">
        <v>0.0</v>
      </c>
      <c r="S11" s="19">
        <v>0.0</v>
      </c>
      <c r="T11" s="19">
        <v>55.0</v>
      </c>
      <c r="U11" s="20" t="s">
        <v>87</v>
      </c>
      <c r="V11" s="19" t="s">
        <v>76</v>
      </c>
      <c r="W11" s="19"/>
      <c r="X11" s="19" t="s">
        <v>78</v>
      </c>
      <c r="Y11" s="19" t="s">
        <v>79</v>
      </c>
      <c r="Z11" s="19" t="s">
        <v>80</v>
      </c>
      <c r="AA11" s="19" t="s">
        <v>76</v>
      </c>
      <c r="AB11" s="19" t="s">
        <v>82</v>
      </c>
    </row>
    <row r="12">
      <c r="A12" s="18" t="s">
        <v>107</v>
      </c>
      <c r="B12" s="18" t="s">
        <v>84</v>
      </c>
      <c r="C12" s="18" t="s">
        <v>69</v>
      </c>
      <c r="D12" s="19">
        <v>6.28</v>
      </c>
      <c r="E12" s="19">
        <v>-10.69</v>
      </c>
      <c r="F12" s="19" t="s">
        <v>108</v>
      </c>
      <c r="G12" s="19">
        <v>16.0</v>
      </c>
      <c r="H12" s="19"/>
      <c r="I12" s="19" t="s">
        <v>96</v>
      </c>
      <c r="J12" s="19"/>
      <c r="K12" s="19"/>
      <c r="L12" s="19"/>
      <c r="M12" s="19"/>
      <c r="N12" s="19"/>
      <c r="O12" s="19" t="s">
        <v>94</v>
      </c>
      <c r="P12" s="19">
        <v>4.0</v>
      </c>
      <c r="Q12" s="19">
        <v>2.0</v>
      </c>
      <c r="R12" s="19">
        <v>0.0</v>
      </c>
      <c r="S12" s="19">
        <v>0.0</v>
      </c>
      <c r="T12" s="19">
        <v>73.0</v>
      </c>
      <c r="U12" s="20" t="s">
        <v>87</v>
      </c>
      <c r="V12" s="19" t="s">
        <v>109</v>
      </c>
      <c r="W12" s="19"/>
      <c r="X12" s="19" t="s">
        <v>78</v>
      </c>
      <c r="Y12" s="19" t="s">
        <v>100</v>
      </c>
      <c r="Z12" s="19" t="s">
        <v>80</v>
      </c>
      <c r="AA12" s="19" t="s">
        <v>76</v>
      </c>
      <c r="AB12" s="19" t="s">
        <v>82</v>
      </c>
    </row>
    <row r="13">
      <c r="A13" s="18" t="s">
        <v>110</v>
      </c>
      <c r="B13" s="18" t="s">
        <v>111</v>
      </c>
      <c r="C13" s="18" t="s">
        <v>69</v>
      </c>
      <c r="D13" s="19">
        <v>8.34</v>
      </c>
      <c r="E13" s="19">
        <v>-10.2</v>
      </c>
      <c r="F13" s="19" t="s">
        <v>91</v>
      </c>
      <c r="G13" s="19">
        <v>2.0</v>
      </c>
      <c r="H13" s="19" t="s">
        <v>85</v>
      </c>
      <c r="I13" s="19" t="s">
        <v>86</v>
      </c>
      <c r="J13" s="19"/>
      <c r="K13" s="19"/>
      <c r="L13" s="19"/>
      <c r="M13" s="19"/>
      <c r="N13" s="19"/>
      <c r="O13" s="19" t="s">
        <v>112</v>
      </c>
      <c r="P13" s="19">
        <v>3.0</v>
      </c>
      <c r="Q13" s="19">
        <v>2.0</v>
      </c>
      <c r="R13" s="19">
        <v>1.0</v>
      </c>
      <c r="S13" s="19">
        <v>0.0</v>
      </c>
      <c r="T13" s="19">
        <v>64.0</v>
      </c>
      <c r="U13" s="20" t="s">
        <v>87</v>
      </c>
      <c r="V13" s="19" t="s">
        <v>76</v>
      </c>
      <c r="W13" s="19" t="s">
        <v>77</v>
      </c>
      <c r="X13" s="19" t="s">
        <v>78</v>
      </c>
      <c r="Y13" s="19" t="s">
        <v>79</v>
      </c>
      <c r="Z13" s="19" t="s">
        <v>80</v>
      </c>
      <c r="AA13" s="19" t="s">
        <v>81</v>
      </c>
      <c r="AB13" s="19" t="s">
        <v>82</v>
      </c>
    </row>
    <row r="14">
      <c r="A14" s="18" t="s">
        <v>113</v>
      </c>
      <c r="B14" s="18" t="s">
        <v>68</v>
      </c>
      <c r="C14" s="18" t="s">
        <v>114</v>
      </c>
      <c r="D14" s="19">
        <v>7.36</v>
      </c>
      <c r="E14" s="19">
        <v>-8.71</v>
      </c>
      <c r="F14" s="19" t="s">
        <v>108</v>
      </c>
      <c r="G14" s="19">
        <v>4.0</v>
      </c>
      <c r="H14" s="19" t="s">
        <v>85</v>
      </c>
      <c r="I14" s="19" t="s">
        <v>86</v>
      </c>
      <c r="J14" s="19"/>
      <c r="K14" s="19"/>
      <c r="L14" s="19"/>
      <c r="M14" s="19"/>
      <c r="N14" s="19"/>
      <c r="O14" s="19" t="s">
        <v>112</v>
      </c>
      <c r="P14" s="19">
        <v>5.0</v>
      </c>
      <c r="Q14" s="19">
        <v>2.0</v>
      </c>
      <c r="R14" s="19">
        <v>0.0</v>
      </c>
      <c r="S14" s="19">
        <v>0.0</v>
      </c>
      <c r="T14" s="19">
        <v>78.0</v>
      </c>
      <c r="U14" s="20" t="s">
        <v>87</v>
      </c>
      <c r="V14" s="19" t="s">
        <v>76</v>
      </c>
      <c r="W14" s="19" t="s">
        <v>77</v>
      </c>
      <c r="X14" s="19" t="s">
        <v>78</v>
      </c>
      <c r="Y14" s="19" t="s">
        <v>79</v>
      </c>
      <c r="Z14" s="19" t="s">
        <v>80</v>
      </c>
      <c r="AA14" s="19" t="s">
        <v>81</v>
      </c>
      <c r="AB14" s="19" t="s">
        <v>82</v>
      </c>
    </row>
    <row r="15">
      <c r="A15" s="18" t="s">
        <v>115</v>
      </c>
      <c r="B15" s="18" t="s">
        <v>99</v>
      </c>
      <c r="C15" s="18" t="s">
        <v>69</v>
      </c>
      <c r="D15" s="19">
        <v>6.4</v>
      </c>
      <c r="E15" s="19">
        <v>-10.43</v>
      </c>
      <c r="F15" s="19" t="s">
        <v>91</v>
      </c>
      <c r="G15" s="19">
        <v>8.0</v>
      </c>
      <c r="H15" s="19"/>
      <c r="I15" s="19" t="s">
        <v>71</v>
      </c>
      <c r="J15" s="19"/>
      <c r="K15" s="19"/>
      <c r="L15" s="19"/>
      <c r="M15" s="19"/>
      <c r="N15" s="19"/>
      <c r="O15" s="19" t="s">
        <v>94</v>
      </c>
      <c r="P15" s="19">
        <v>0.0</v>
      </c>
      <c r="Q15" s="19">
        <v>0.0</v>
      </c>
      <c r="R15" s="19">
        <v>0.0</v>
      </c>
      <c r="S15" s="19">
        <v>0.0</v>
      </c>
      <c r="T15" s="19">
        <v>53.0</v>
      </c>
      <c r="U15" s="20" t="s">
        <v>87</v>
      </c>
      <c r="V15" s="19" t="s">
        <v>76</v>
      </c>
      <c r="W15" s="19"/>
      <c r="X15" s="19" t="s">
        <v>78</v>
      </c>
      <c r="Y15" s="19" t="s">
        <v>100</v>
      </c>
      <c r="Z15" s="19" t="s">
        <v>80</v>
      </c>
      <c r="AA15" s="19" t="s">
        <v>81</v>
      </c>
      <c r="AB15" s="19" t="s">
        <v>82</v>
      </c>
    </row>
    <row r="16">
      <c r="A16" s="18" t="s">
        <v>116</v>
      </c>
      <c r="B16" s="18" t="s">
        <v>117</v>
      </c>
      <c r="C16" s="18" t="s">
        <v>69</v>
      </c>
      <c r="D16" s="19">
        <v>6.23</v>
      </c>
      <c r="E16" s="19">
        <v>-8.44</v>
      </c>
      <c r="F16" s="19" t="s">
        <v>91</v>
      </c>
      <c r="G16" s="19">
        <v>5.0</v>
      </c>
      <c r="H16" s="19"/>
      <c r="I16" s="19" t="s">
        <v>71</v>
      </c>
      <c r="J16" s="19"/>
      <c r="K16" s="19"/>
      <c r="L16" s="19"/>
      <c r="M16" s="19"/>
      <c r="N16" s="19"/>
      <c r="O16" s="19" t="s">
        <v>94</v>
      </c>
      <c r="P16" s="19">
        <v>0.0</v>
      </c>
      <c r="Q16" s="19">
        <v>0.0</v>
      </c>
      <c r="R16" s="19">
        <v>0.0</v>
      </c>
      <c r="S16" s="19">
        <v>0.0</v>
      </c>
      <c r="T16" s="19">
        <v>60.0</v>
      </c>
      <c r="U16" s="20" t="s">
        <v>87</v>
      </c>
      <c r="V16" s="19" t="s">
        <v>76</v>
      </c>
      <c r="W16" s="19" t="s">
        <v>88</v>
      </c>
      <c r="X16" s="19" t="s">
        <v>78</v>
      </c>
      <c r="Y16" s="19" t="s">
        <v>100</v>
      </c>
      <c r="Z16" s="19" t="s">
        <v>80</v>
      </c>
      <c r="AA16" s="19" t="s">
        <v>81</v>
      </c>
      <c r="AB16" s="19" t="s">
        <v>82</v>
      </c>
    </row>
    <row r="17">
      <c r="A17" s="18" t="s">
        <v>118</v>
      </c>
      <c r="B17" s="18" t="s">
        <v>119</v>
      </c>
      <c r="C17" s="18" t="s">
        <v>69</v>
      </c>
      <c r="D17" s="19">
        <v>5.23</v>
      </c>
      <c r="E17" s="19">
        <v>-8.01</v>
      </c>
      <c r="F17" s="19" t="s">
        <v>91</v>
      </c>
      <c r="G17" s="19">
        <v>20.0</v>
      </c>
      <c r="H17" s="19"/>
      <c r="I17" s="19"/>
      <c r="J17" s="19" t="s">
        <v>120</v>
      </c>
      <c r="K17" s="19">
        <v>5.81</v>
      </c>
      <c r="L17" s="19">
        <v>11.0</v>
      </c>
      <c r="M17" s="19">
        <v>50.0</v>
      </c>
      <c r="N17" s="19" t="s">
        <v>73</v>
      </c>
      <c r="O17" s="19" t="s">
        <v>74</v>
      </c>
      <c r="P17" s="19">
        <v>1.0</v>
      </c>
      <c r="Q17" s="19">
        <v>0.0</v>
      </c>
      <c r="R17" s="19">
        <v>0.0</v>
      </c>
      <c r="S17" s="19">
        <v>0.0</v>
      </c>
      <c r="T17" s="19">
        <v>66.0</v>
      </c>
      <c r="U17" s="20" t="s">
        <v>87</v>
      </c>
      <c r="V17" s="19" t="s">
        <v>76</v>
      </c>
      <c r="W17" s="19"/>
      <c r="X17" s="19" t="s">
        <v>78</v>
      </c>
      <c r="Y17" s="19" t="s">
        <v>79</v>
      </c>
      <c r="Z17" s="19" t="s">
        <v>121</v>
      </c>
      <c r="AA17" s="19" t="s">
        <v>76</v>
      </c>
      <c r="AB17" s="19" t="s">
        <v>82</v>
      </c>
    </row>
    <row r="18">
      <c r="A18" s="18" t="s">
        <v>122</v>
      </c>
      <c r="B18" s="18" t="s">
        <v>84</v>
      </c>
      <c r="C18" s="18" t="s">
        <v>114</v>
      </c>
      <c r="D18" s="19">
        <v>6.3</v>
      </c>
      <c r="E18" s="19">
        <v>-10.71</v>
      </c>
      <c r="F18" s="19" t="s">
        <v>108</v>
      </c>
      <c r="G18" s="19">
        <v>24.0</v>
      </c>
      <c r="H18" s="19"/>
      <c r="I18" s="19" t="s">
        <v>71</v>
      </c>
      <c r="J18" s="19" t="s">
        <v>72</v>
      </c>
      <c r="K18" s="19">
        <v>20.0</v>
      </c>
      <c r="L18" s="19">
        <v>26.8</v>
      </c>
      <c r="M18" s="19">
        <v>80.0</v>
      </c>
      <c r="N18" s="19" t="s">
        <v>123</v>
      </c>
      <c r="O18" s="19" t="s">
        <v>94</v>
      </c>
      <c r="P18" s="19">
        <v>10.0</v>
      </c>
      <c r="Q18" s="19">
        <v>4.0</v>
      </c>
      <c r="R18" s="19">
        <v>0.0</v>
      </c>
      <c r="S18" s="19">
        <v>4.0</v>
      </c>
      <c r="T18" s="19">
        <v>73.0</v>
      </c>
      <c r="U18" s="20" t="s">
        <v>87</v>
      </c>
      <c r="V18" s="19" t="s">
        <v>76</v>
      </c>
      <c r="W18" s="19" t="s">
        <v>88</v>
      </c>
      <c r="X18" s="19" t="s">
        <v>78</v>
      </c>
      <c r="Y18" s="19" t="s">
        <v>79</v>
      </c>
      <c r="Z18" s="19" t="s">
        <v>80</v>
      </c>
      <c r="AA18" s="19" t="s">
        <v>81</v>
      </c>
      <c r="AB18" s="19" t="s">
        <v>82</v>
      </c>
    </row>
    <row r="19">
      <c r="A19" s="18" t="s">
        <v>124</v>
      </c>
      <c r="B19" s="18" t="s">
        <v>125</v>
      </c>
      <c r="C19" s="18" t="s">
        <v>114</v>
      </c>
      <c r="D19" s="19">
        <v>4.38</v>
      </c>
      <c r="E19" s="19">
        <v>-7.71</v>
      </c>
      <c r="F19" s="19" t="s">
        <v>70</v>
      </c>
      <c r="G19" s="19">
        <v>8.0</v>
      </c>
      <c r="H19" s="19"/>
      <c r="I19" s="19" t="s">
        <v>71</v>
      </c>
      <c r="J19" s="19" t="s">
        <v>126</v>
      </c>
      <c r="K19" s="19">
        <v>1.93</v>
      </c>
      <c r="L19" s="19">
        <v>1.78</v>
      </c>
      <c r="M19" s="19">
        <v>95.0</v>
      </c>
      <c r="N19" s="19" t="s">
        <v>73</v>
      </c>
      <c r="O19" s="19" t="s">
        <v>94</v>
      </c>
      <c r="P19" s="19">
        <v>5.0</v>
      </c>
      <c r="Q19" s="19">
        <v>3.0</v>
      </c>
      <c r="R19" s="19">
        <v>0.0</v>
      </c>
      <c r="S19" s="19">
        <v>0.0</v>
      </c>
      <c r="T19" s="19">
        <v>56.0</v>
      </c>
      <c r="U19" s="20" t="s">
        <v>87</v>
      </c>
      <c r="V19" s="19" t="s">
        <v>76</v>
      </c>
      <c r="W19" s="19"/>
      <c r="X19" s="19" t="s">
        <v>127</v>
      </c>
      <c r="Y19" s="19" t="s">
        <v>100</v>
      </c>
      <c r="Z19" s="19" t="s">
        <v>80</v>
      </c>
      <c r="AA19" s="19" t="s">
        <v>81</v>
      </c>
      <c r="AB19" s="19" t="s">
        <v>82</v>
      </c>
    </row>
    <row r="20">
      <c r="A20" s="18" t="s">
        <v>128</v>
      </c>
      <c r="B20" s="18" t="s">
        <v>99</v>
      </c>
      <c r="C20" s="18" t="s">
        <v>69</v>
      </c>
      <c r="D20" s="19">
        <v>6.55</v>
      </c>
      <c r="E20" s="19">
        <v>-10.33</v>
      </c>
      <c r="F20" s="19" t="s">
        <v>91</v>
      </c>
      <c r="G20" s="19">
        <v>15.0</v>
      </c>
      <c r="H20" s="19"/>
      <c r="I20" s="19" t="s">
        <v>86</v>
      </c>
      <c r="J20" s="19" t="s">
        <v>129</v>
      </c>
      <c r="K20" s="19">
        <v>9.03</v>
      </c>
      <c r="L20" s="19">
        <v>4.51</v>
      </c>
      <c r="M20" s="19">
        <v>100.0</v>
      </c>
      <c r="N20" s="19" t="s">
        <v>73</v>
      </c>
      <c r="O20" s="19" t="s">
        <v>105</v>
      </c>
      <c r="P20" s="19">
        <v>2.0</v>
      </c>
      <c r="Q20" s="19">
        <v>1.0</v>
      </c>
      <c r="R20" s="19">
        <v>1.0</v>
      </c>
      <c r="S20" s="19">
        <v>2.0</v>
      </c>
      <c r="T20" s="19">
        <v>82.0</v>
      </c>
      <c r="U20" s="20" t="s">
        <v>87</v>
      </c>
      <c r="V20" s="19" t="s">
        <v>76</v>
      </c>
      <c r="W20" s="19" t="s">
        <v>88</v>
      </c>
      <c r="X20" s="19" t="s">
        <v>78</v>
      </c>
      <c r="Y20" s="19" t="s">
        <v>79</v>
      </c>
      <c r="Z20" s="19" t="s">
        <v>130</v>
      </c>
      <c r="AA20" s="19" t="s">
        <v>81</v>
      </c>
      <c r="AB20" s="19" t="s">
        <v>82</v>
      </c>
    </row>
    <row r="21" ht="15.75" customHeight="1">
      <c r="A21" s="18" t="s">
        <v>131</v>
      </c>
      <c r="B21" s="18" t="s">
        <v>68</v>
      </c>
      <c r="C21" s="18" t="s">
        <v>69</v>
      </c>
      <c r="D21" s="19">
        <v>7.26</v>
      </c>
      <c r="E21" s="19">
        <v>-8.5</v>
      </c>
      <c r="F21" s="19" t="s">
        <v>70</v>
      </c>
      <c r="G21" s="19">
        <v>53.0</v>
      </c>
      <c r="H21" s="19"/>
      <c r="I21" s="19" t="s">
        <v>86</v>
      </c>
      <c r="J21" s="19"/>
      <c r="K21" s="19"/>
      <c r="L21" s="19"/>
      <c r="M21" s="19"/>
      <c r="N21" s="19"/>
      <c r="O21" s="19" t="s">
        <v>112</v>
      </c>
      <c r="P21" s="19">
        <v>4.0</v>
      </c>
      <c r="Q21" s="19">
        <v>0.0</v>
      </c>
      <c r="R21" s="19">
        <v>2.0</v>
      </c>
      <c r="S21" s="19">
        <v>0.0</v>
      </c>
      <c r="T21" s="19">
        <v>82.0</v>
      </c>
      <c r="U21" s="20" t="s">
        <v>87</v>
      </c>
      <c r="V21" s="19" t="s">
        <v>76</v>
      </c>
      <c r="W21" s="19" t="s">
        <v>77</v>
      </c>
      <c r="X21" s="19" t="s">
        <v>78</v>
      </c>
      <c r="Y21" s="19" t="s">
        <v>100</v>
      </c>
      <c r="Z21" s="19" t="s">
        <v>80</v>
      </c>
      <c r="AA21" s="19" t="s">
        <v>81</v>
      </c>
      <c r="AB21" s="19" t="s">
        <v>82</v>
      </c>
    </row>
    <row r="22" ht="15.75" customHeight="1">
      <c r="A22" s="18" t="s">
        <v>132</v>
      </c>
      <c r="B22" s="18" t="s">
        <v>111</v>
      </c>
      <c r="C22" s="18" t="s">
        <v>69</v>
      </c>
      <c r="D22" s="19">
        <v>7.96</v>
      </c>
      <c r="E22" s="19">
        <v>-9.54</v>
      </c>
      <c r="F22" s="19" t="s">
        <v>91</v>
      </c>
      <c r="G22" s="19">
        <v>0.0</v>
      </c>
      <c r="H22" s="19"/>
      <c r="I22" s="19"/>
      <c r="J22" s="19"/>
      <c r="K22" s="19"/>
      <c r="L22" s="19"/>
      <c r="M22" s="19"/>
      <c r="N22" s="19"/>
      <c r="O22" s="19" t="s">
        <v>112</v>
      </c>
      <c r="P22" s="19">
        <v>3.0</v>
      </c>
      <c r="Q22" s="19">
        <v>1.0</v>
      </c>
      <c r="R22" s="19">
        <v>0.0</v>
      </c>
      <c r="S22" s="19">
        <v>0.0</v>
      </c>
      <c r="T22" s="19">
        <v>70.0</v>
      </c>
      <c r="U22" s="20" t="s">
        <v>87</v>
      </c>
      <c r="V22" s="19" t="s">
        <v>76</v>
      </c>
      <c r="W22" s="19" t="s">
        <v>77</v>
      </c>
      <c r="X22" s="19" t="s">
        <v>78</v>
      </c>
      <c r="Y22" s="19" t="s">
        <v>79</v>
      </c>
      <c r="Z22" s="19" t="s">
        <v>80</v>
      </c>
      <c r="AA22" s="19" t="s">
        <v>81</v>
      </c>
      <c r="AB22" s="19" t="s">
        <v>82</v>
      </c>
    </row>
    <row r="23" ht="15.75" customHeight="1">
      <c r="A23" s="18" t="s">
        <v>133</v>
      </c>
      <c r="B23" s="18" t="s">
        <v>117</v>
      </c>
      <c r="C23" s="18" t="s">
        <v>69</v>
      </c>
      <c r="D23" s="19">
        <v>5.77</v>
      </c>
      <c r="E23" s="19">
        <v>-7.86</v>
      </c>
      <c r="F23" s="19" t="s">
        <v>91</v>
      </c>
      <c r="G23" s="19">
        <v>40.0</v>
      </c>
      <c r="H23" s="19"/>
      <c r="I23" s="19" t="s">
        <v>96</v>
      </c>
      <c r="J23" s="19"/>
      <c r="K23" s="19"/>
      <c r="L23" s="19"/>
      <c r="M23" s="19"/>
      <c r="N23" s="19"/>
      <c r="O23" s="19" t="s">
        <v>74</v>
      </c>
      <c r="P23" s="19">
        <v>0.0</v>
      </c>
      <c r="Q23" s="19">
        <v>0.0</v>
      </c>
      <c r="R23" s="19">
        <v>0.0</v>
      </c>
      <c r="S23" s="19">
        <v>0.0</v>
      </c>
      <c r="T23" s="19">
        <v>66.0</v>
      </c>
      <c r="U23" s="20" t="s">
        <v>87</v>
      </c>
      <c r="V23" s="19" t="s">
        <v>76</v>
      </c>
      <c r="W23" s="19"/>
      <c r="X23" s="19" t="s">
        <v>78</v>
      </c>
      <c r="Y23" s="19" t="s">
        <v>79</v>
      </c>
      <c r="Z23" s="19" t="s">
        <v>121</v>
      </c>
      <c r="AA23" s="19" t="s">
        <v>76</v>
      </c>
      <c r="AB23" s="19" t="s">
        <v>82</v>
      </c>
    </row>
    <row r="24" ht="15.75" customHeight="1">
      <c r="A24" s="18" t="s">
        <v>134</v>
      </c>
      <c r="B24" s="18" t="s">
        <v>102</v>
      </c>
      <c r="C24" s="18" t="s">
        <v>69</v>
      </c>
      <c r="D24" s="19">
        <v>7.07</v>
      </c>
      <c r="E24" s="19">
        <v>-10.88</v>
      </c>
      <c r="F24" s="19" t="s">
        <v>91</v>
      </c>
      <c r="G24" s="19">
        <v>24.0</v>
      </c>
      <c r="H24" s="19" t="s">
        <v>85</v>
      </c>
      <c r="I24" s="19"/>
      <c r="J24" s="19"/>
      <c r="K24" s="19"/>
      <c r="L24" s="19"/>
      <c r="M24" s="19"/>
      <c r="N24" s="19"/>
      <c r="O24" s="19" t="s">
        <v>94</v>
      </c>
      <c r="P24" s="19">
        <v>0.0</v>
      </c>
      <c r="Q24" s="19">
        <v>0.0</v>
      </c>
      <c r="R24" s="19">
        <v>0.0</v>
      </c>
      <c r="S24" s="19">
        <v>0.0</v>
      </c>
      <c r="T24" s="19">
        <v>76.0</v>
      </c>
      <c r="U24" s="20" t="s">
        <v>87</v>
      </c>
      <c r="V24" s="19" t="s">
        <v>76</v>
      </c>
      <c r="W24" s="19" t="s">
        <v>88</v>
      </c>
      <c r="X24" s="19" t="s">
        <v>78</v>
      </c>
      <c r="Y24" s="19" t="s">
        <v>100</v>
      </c>
      <c r="Z24" s="19" t="s">
        <v>80</v>
      </c>
      <c r="AA24" s="19" t="s">
        <v>81</v>
      </c>
      <c r="AB24" s="19" t="s">
        <v>82</v>
      </c>
    </row>
    <row r="25" ht="15.75" customHeight="1">
      <c r="A25" s="18" t="s">
        <v>135</v>
      </c>
      <c r="B25" s="18" t="s">
        <v>99</v>
      </c>
      <c r="C25" s="18" t="s">
        <v>69</v>
      </c>
      <c r="D25" s="19">
        <v>6.15</v>
      </c>
      <c r="E25" s="19">
        <v>-10.38</v>
      </c>
      <c r="F25" s="19" t="s">
        <v>70</v>
      </c>
      <c r="G25" s="19">
        <v>12.0</v>
      </c>
      <c r="H25" s="19"/>
      <c r="I25" s="19" t="s">
        <v>71</v>
      </c>
      <c r="J25" s="19"/>
      <c r="K25" s="19"/>
      <c r="L25" s="19"/>
      <c r="M25" s="19"/>
      <c r="N25" s="19"/>
      <c r="O25" s="19" t="s">
        <v>94</v>
      </c>
      <c r="P25" s="19">
        <v>0.0</v>
      </c>
      <c r="Q25" s="19">
        <v>0.0</v>
      </c>
      <c r="R25" s="19">
        <v>0.0</v>
      </c>
      <c r="S25" s="19">
        <v>0.0</v>
      </c>
      <c r="T25" s="19">
        <v>73.0</v>
      </c>
      <c r="U25" s="20" t="s">
        <v>87</v>
      </c>
      <c r="V25" s="19" t="s">
        <v>76</v>
      </c>
      <c r="W25" s="19"/>
      <c r="X25" s="19" t="s">
        <v>78</v>
      </c>
      <c r="Y25" s="19" t="s">
        <v>79</v>
      </c>
      <c r="Z25" s="19" t="s">
        <v>80</v>
      </c>
      <c r="AA25" s="19" t="s">
        <v>81</v>
      </c>
      <c r="AB25" s="19" t="s">
        <v>82</v>
      </c>
    </row>
    <row r="26" ht="15.75" customHeight="1">
      <c r="A26" s="18" t="s">
        <v>136</v>
      </c>
      <c r="B26" s="18" t="s">
        <v>99</v>
      </c>
      <c r="C26" s="18" t="s">
        <v>69</v>
      </c>
      <c r="D26" s="19">
        <v>6.68</v>
      </c>
      <c r="E26" s="19">
        <v>-10.18</v>
      </c>
      <c r="F26" s="19" t="s">
        <v>91</v>
      </c>
      <c r="G26" s="19">
        <v>10.0</v>
      </c>
      <c r="H26" s="19"/>
      <c r="I26" s="19" t="s">
        <v>86</v>
      </c>
      <c r="J26" s="19"/>
      <c r="K26" s="19"/>
      <c r="L26" s="19"/>
      <c r="M26" s="19"/>
      <c r="N26" s="19"/>
      <c r="O26" s="19" t="s">
        <v>105</v>
      </c>
      <c r="P26" s="19">
        <v>0.0</v>
      </c>
      <c r="Q26" s="19">
        <v>0.0</v>
      </c>
      <c r="R26" s="19">
        <v>1.0</v>
      </c>
      <c r="S26" s="19">
        <v>0.0</v>
      </c>
      <c r="T26" s="19">
        <v>60.0</v>
      </c>
      <c r="U26" s="20" t="s">
        <v>87</v>
      </c>
      <c r="V26" s="19" t="s">
        <v>76</v>
      </c>
      <c r="W26" s="19" t="s">
        <v>88</v>
      </c>
      <c r="X26" s="19" t="s">
        <v>78</v>
      </c>
      <c r="Y26" s="19" t="s">
        <v>79</v>
      </c>
      <c r="Z26" s="19" t="s">
        <v>130</v>
      </c>
      <c r="AA26" s="19" t="s">
        <v>81</v>
      </c>
      <c r="AB26" s="19" t="s">
        <v>82</v>
      </c>
    </row>
    <row r="27" ht="15.75" customHeight="1">
      <c r="A27" s="18" t="s">
        <v>137</v>
      </c>
      <c r="B27" s="18" t="s">
        <v>84</v>
      </c>
      <c r="C27" s="18" t="s">
        <v>69</v>
      </c>
      <c r="D27" s="19">
        <v>6.35</v>
      </c>
      <c r="E27" s="19">
        <v>-10.76</v>
      </c>
      <c r="F27" s="19" t="s">
        <v>70</v>
      </c>
      <c r="G27" s="19">
        <v>2.94</v>
      </c>
      <c r="H27" s="19"/>
      <c r="I27" s="19" t="s">
        <v>71</v>
      </c>
      <c r="J27" s="19"/>
      <c r="K27" s="19"/>
      <c r="L27" s="19"/>
      <c r="M27" s="19"/>
      <c r="N27" s="19"/>
      <c r="O27" s="19" t="s">
        <v>74</v>
      </c>
      <c r="P27" s="19">
        <v>0.0</v>
      </c>
      <c r="Q27" s="19">
        <v>0.0</v>
      </c>
      <c r="R27" s="19">
        <v>0.0</v>
      </c>
      <c r="S27" s="19">
        <v>0.0</v>
      </c>
      <c r="T27" s="19">
        <v>66.0</v>
      </c>
      <c r="U27" s="20" t="s">
        <v>87</v>
      </c>
      <c r="V27" s="19" t="s">
        <v>76</v>
      </c>
      <c r="W27" s="19" t="s">
        <v>88</v>
      </c>
      <c r="X27" s="19" t="s">
        <v>78</v>
      </c>
      <c r="Y27" s="19" t="s">
        <v>79</v>
      </c>
      <c r="Z27" s="19" t="s">
        <v>80</v>
      </c>
      <c r="AA27" s="19" t="s">
        <v>81</v>
      </c>
      <c r="AB27" s="19" t="s">
        <v>82</v>
      </c>
    </row>
    <row r="28" ht="15.75" customHeight="1">
      <c r="A28" s="18" t="s">
        <v>138</v>
      </c>
      <c r="B28" s="18" t="s">
        <v>84</v>
      </c>
      <c r="C28" s="18" t="s">
        <v>69</v>
      </c>
      <c r="D28" s="19">
        <v>6.55</v>
      </c>
      <c r="E28" s="19">
        <v>-10.49</v>
      </c>
      <c r="F28" s="19" t="s">
        <v>108</v>
      </c>
      <c r="G28" s="19">
        <v>6.0</v>
      </c>
      <c r="H28" s="19"/>
      <c r="I28" s="19"/>
      <c r="J28" s="19" t="s">
        <v>72</v>
      </c>
      <c r="K28" s="19">
        <v>61.8</v>
      </c>
      <c r="L28" s="19">
        <v>22.4</v>
      </c>
      <c r="M28" s="19">
        <v>80.0</v>
      </c>
      <c r="N28" s="19" t="s">
        <v>139</v>
      </c>
      <c r="O28" s="19" t="s">
        <v>74</v>
      </c>
      <c r="P28" s="19">
        <v>1.0</v>
      </c>
      <c r="Q28" s="19">
        <v>0.0</v>
      </c>
      <c r="R28" s="19">
        <v>0.0</v>
      </c>
      <c r="S28" s="19">
        <v>2.0</v>
      </c>
      <c r="T28" s="19">
        <v>78.0</v>
      </c>
      <c r="U28" s="20" t="s">
        <v>87</v>
      </c>
      <c r="V28" s="19" t="s">
        <v>76</v>
      </c>
      <c r="W28" s="19" t="s">
        <v>88</v>
      </c>
      <c r="X28" s="19" t="s">
        <v>78</v>
      </c>
      <c r="Y28" s="19" t="s">
        <v>79</v>
      </c>
      <c r="Z28" s="19" t="s">
        <v>130</v>
      </c>
      <c r="AA28" s="19" t="s">
        <v>81</v>
      </c>
      <c r="AB28" s="19" t="s">
        <v>82</v>
      </c>
    </row>
    <row r="29" ht="15.75" customHeight="1">
      <c r="A29" s="18" t="s">
        <v>140</v>
      </c>
      <c r="B29" s="18" t="s">
        <v>84</v>
      </c>
      <c r="C29" s="18" t="s">
        <v>69</v>
      </c>
      <c r="D29" s="19">
        <v>6.3</v>
      </c>
      <c r="E29" s="19">
        <v>-10.69</v>
      </c>
      <c r="F29" s="19" t="s">
        <v>70</v>
      </c>
      <c r="G29" s="19">
        <v>6.0</v>
      </c>
      <c r="H29" s="19"/>
      <c r="I29" s="19" t="s">
        <v>71</v>
      </c>
      <c r="J29" s="19"/>
      <c r="K29" s="19"/>
      <c r="L29" s="19"/>
      <c r="M29" s="19"/>
      <c r="N29" s="19"/>
      <c r="O29" s="19" t="s">
        <v>94</v>
      </c>
      <c r="P29" s="19">
        <v>1.0</v>
      </c>
      <c r="Q29" s="19">
        <v>0.0</v>
      </c>
      <c r="R29" s="19">
        <v>0.0</v>
      </c>
      <c r="S29" s="19">
        <v>0.0</v>
      </c>
      <c r="T29" s="19">
        <v>73.0</v>
      </c>
      <c r="U29" s="20" t="s">
        <v>87</v>
      </c>
      <c r="V29" s="19" t="s">
        <v>109</v>
      </c>
      <c r="W29" s="19"/>
      <c r="X29" s="19" t="s">
        <v>78</v>
      </c>
      <c r="Y29" s="19" t="s">
        <v>100</v>
      </c>
      <c r="Z29" s="19" t="s">
        <v>80</v>
      </c>
      <c r="AA29" s="19" t="s">
        <v>81</v>
      </c>
      <c r="AB29" s="19" t="s">
        <v>82</v>
      </c>
    </row>
    <row r="30" ht="15.75" customHeight="1">
      <c r="A30" s="18" t="s">
        <v>141</v>
      </c>
      <c r="B30" s="18" t="s">
        <v>125</v>
      </c>
      <c r="C30" s="18" t="s">
        <v>69</v>
      </c>
      <c r="D30" s="19">
        <v>4.6</v>
      </c>
      <c r="E30" s="19">
        <v>-7.67</v>
      </c>
      <c r="F30" s="19" t="s">
        <v>108</v>
      </c>
      <c r="G30" s="19">
        <v>0.0</v>
      </c>
      <c r="H30" s="19"/>
      <c r="I30" s="19" t="s">
        <v>86</v>
      </c>
      <c r="J30" s="19" t="s">
        <v>142</v>
      </c>
      <c r="K30" s="19">
        <v>11.98</v>
      </c>
      <c r="L30" s="19">
        <v>12.07</v>
      </c>
      <c r="M30" s="19">
        <v>100.0</v>
      </c>
      <c r="N30" s="19" t="s">
        <v>139</v>
      </c>
      <c r="O30" s="19" t="s">
        <v>94</v>
      </c>
      <c r="P30" s="19">
        <v>6.0</v>
      </c>
      <c r="Q30" s="19">
        <v>2.0</v>
      </c>
      <c r="R30" s="19">
        <v>1.0</v>
      </c>
      <c r="S30" s="19">
        <v>0.0</v>
      </c>
      <c r="T30" s="19">
        <v>64.0</v>
      </c>
      <c r="U30" s="20" t="s">
        <v>87</v>
      </c>
      <c r="V30" s="19" t="s">
        <v>76</v>
      </c>
      <c r="W30" s="19"/>
      <c r="X30" s="19" t="s">
        <v>127</v>
      </c>
      <c r="Y30" s="19" t="s">
        <v>79</v>
      </c>
      <c r="Z30" s="19" t="s">
        <v>80</v>
      </c>
      <c r="AA30" s="19" t="s">
        <v>143</v>
      </c>
      <c r="AB30" s="19" t="s">
        <v>82</v>
      </c>
    </row>
    <row r="31" ht="15.75" customHeight="1">
      <c r="A31" s="18" t="s">
        <v>144</v>
      </c>
      <c r="B31" s="18" t="s">
        <v>84</v>
      </c>
      <c r="C31" s="18" t="s">
        <v>69</v>
      </c>
      <c r="D31" s="19">
        <v>6.32</v>
      </c>
      <c r="E31" s="19">
        <v>-10.73</v>
      </c>
      <c r="F31" s="19" t="s">
        <v>70</v>
      </c>
      <c r="G31" s="19">
        <v>42.0</v>
      </c>
      <c r="H31" s="19"/>
      <c r="I31" s="19" t="s">
        <v>71</v>
      </c>
      <c r="J31" s="19"/>
      <c r="K31" s="19"/>
      <c r="L31" s="19"/>
      <c r="M31" s="19"/>
      <c r="N31" s="19"/>
      <c r="O31" s="19" t="s">
        <v>74</v>
      </c>
      <c r="P31" s="19">
        <v>2.0</v>
      </c>
      <c r="Q31" s="19">
        <v>0.0</v>
      </c>
      <c r="R31" s="19">
        <v>0.0</v>
      </c>
      <c r="S31" s="19">
        <v>0.0</v>
      </c>
      <c r="T31" s="19">
        <v>66.0</v>
      </c>
      <c r="U31" s="20" t="s">
        <v>87</v>
      </c>
      <c r="V31" s="19" t="s">
        <v>76</v>
      </c>
      <c r="W31" s="19" t="s">
        <v>88</v>
      </c>
      <c r="X31" s="19" t="s">
        <v>78</v>
      </c>
      <c r="Y31" s="19" t="s">
        <v>79</v>
      </c>
      <c r="Z31" s="19" t="s">
        <v>80</v>
      </c>
      <c r="AA31" s="19" t="s">
        <v>81</v>
      </c>
      <c r="AB31" s="19" t="s">
        <v>82</v>
      </c>
    </row>
    <row r="32" ht="15.75" customHeight="1">
      <c r="A32" s="18" t="s">
        <v>145</v>
      </c>
      <c r="B32" s="18" t="s">
        <v>68</v>
      </c>
      <c r="C32" s="18" t="s">
        <v>69</v>
      </c>
      <c r="D32" s="19">
        <v>6.98</v>
      </c>
      <c r="E32" s="19">
        <v>-8.84</v>
      </c>
      <c r="F32" s="19" t="s">
        <v>70</v>
      </c>
      <c r="G32" s="19">
        <v>22.0</v>
      </c>
      <c r="H32" s="19"/>
      <c r="I32" s="19" t="s">
        <v>71</v>
      </c>
      <c r="J32" s="19"/>
      <c r="K32" s="19"/>
      <c r="L32" s="19"/>
      <c r="M32" s="19"/>
      <c r="N32" s="19"/>
      <c r="O32" s="19" t="s">
        <v>112</v>
      </c>
      <c r="P32" s="19">
        <v>7.0</v>
      </c>
      <c r="Q32" s="19">
        <v>2.0</v>
      </c>
      <c r="R32" s="19">
        <v>0.0</v>
      </c>
      <c r="S32" s="19">
        <v>0.0</v>
      </c>
      <c r="T32" s="19">
        <v>72.0</v>
      </c>
      <c r="U32" s="20" t="s">
        <v>87</v>
      </c>
      <c r="V32" s="19" t="s">
        <v>76</v>
      </c>
      <c r="W32" s="19" t="s">
        <v>77</v>
      </c>
      <c r="X32" s="19" t="s">
        <v>78</v>
      </c>
      <c r="Y32" s="19" t="s">
        <v>79</v>
      </c>
      <c r="Z32" s="19" t="s">
        <v>80</v>
      </c>
      <c r="AA32" s="19" t="s">
        <v>81</v>
      </c>
      <c r="AB32" s="19" t="s">
        <v>82</v>
      </c>
    </row>
    <row r="33" ht="15.75" customHeight="1">
      <c r="A33" s="18" t="s">
        <v>146</v>
      </c>
      <c r="B33" s="18" t="s">
        <v>119</v>
      </c>
      <c r="C33" s="18" t="s">
        <v>69</v>
      </c>
      <c r="D33" s="19">
        <v>5.13</v>
      </c>
      <c r="E33" s="19">
        <v>-7.73</v>
      </c>
      <c r="F33" s="19" t="s">
        <v>70</v>
      </c>
      <c r="G33" s="19">
        <v>68.0</v>
      </c>
      <c r="H33" s="19"/>
      <c r="I33" s="19" t="s">
        <v>71</v>
      </c>
      <c r="J33" s="19"/>
      <c r="K33" s="19"/>
      <c r="L33" s="19"/>
      <c r="M33" s="19"/>
      <c r="N33" s="19"/>
      <c r="O33" s="19" t="s">
        <v>112</v>
      </c>
      <c r="P33" s="19">
        <v>0.0</v>
      </c>
      <c r="Q33" s="19">
        <v>0.0</v>
      </c>
      <c r="R33" s="19">
        <v>0.0</v>
      </c>
      <c r="S33" s="19">
        <v>0.0</v>
      </c>
      <c r="T33" s="19">
        <v>70.0</v>
      </c>
      <c r="U33" s="20" t="s">
        <v>87</v>
      </c>
      <c r="V33" s="19" t="s">
        <v>76</v>
      </c>
      <c r="W33" s="19"/>
      <c r="X33" s="19" t="s">
        <v>78</v>
      </c>
      <c r="Y33" s="19" t="s">
        <v>100</v>
      </c>
      <c r="Z33" s="19" t="s">
        <v>121</v>
      </c>
      <c r="AA33" s="19" t="s">
        <v>76</v>
      </c>
      <c r="AB33" s="19" t="s">
        <v>82</v>
      </c>
    </row>
    <row r="34" ht="15.75" customHeight="1">
      <c r="A34" s="18" t="s">
        <v>147</v>
      </c>
      <c r="B34" s="18" t="s">
        <v>102</v>
      </c>
      <c r="C34" s="18" t="s">
        <v>69</v>
      </c>
      <c r="D34" s="19">
        <v>6.82</v>
      </c>
      <c r="E34" s="19">
        <v>-11.14</v>
      </c>
      <c r="F34" s="19" t="s">
        <v>91</v>
      </c>
      <c r="G34" s="19">
        <v>0.0</v>
      </c>
      <c r="H34" s="19"/>
      <c r="I34" s="19" t="s">
        <v>86</v>
      </c>
      <c r="J34" s="19"/>
      <c r="K34" s="19"/>
      <c r="L34" s="19"/>
      <c r="M34" s="19"/>
      <c r="N34" s="19"/>
      <c r="O34" s="19" t="s">
        <v>74</v>
      </c>
      <c r="P34" s="19">
        <v>4.0</v>
      </c>
      <c r="Q34" s="19">
        <v>0.0</v>
      </c>
      <c r="R34" s="19">
        <v>0.0</v>
      </c>
      <c r="S34" s="19">
        <v>0.0</v>
      </c>
      <c r="T34" s="19">
        <v>78.0</v>
      </c>
      <c r="U34" s="20" t="s">
        <v>87</v>
      </c>
      <c r="V34" s="19" t="s">
        <v>76</v>
      </c>
      <c r="W34" s="19" t="s">
        <v>88</v>
      </c>
      <c r="X34" s="19" t="s">
        <v>78</v>
      </c>
      <c r="Y34" s="19" t="s">
        <v>79</v>
      </c>
      <c r="Z34" s="19" t="s">
        <v>80</v>
      </c>
      <c r="AA34" s="19" t="s">
        <v>81</v>
      </c>
      <c r="AB34" s="19" t="s">
        <v>82</v>
      </c>
    </row>
    <row r="35" ht="15.75" customHeight="1">
      <c r="A35" s="18" t="s">
        <v>148</v>
      </c>
      <c r="B35" s="18" t="s">
        <v>84</v>
      </c>
      <c r="C35" s="18" t="s">
        <v>69</v>
      </c>
      <c r="D35" s="19">
        <v>6.31</v>
      </c>
      <c r="E35" s="19">
        <v>-10.8</v>
      </c>
      <c r="F35" s="19" t="s">
        <v>70</v>
      </c>
      <c r="G35" s="19">
        <v>21.0</v>
      </c>
      <c r="H35" s="19" t="s">
        <v>85</v>
      </c>
      <c r="I35" s="19" t="s">
        <v>96</v>
      </c>
      <c r="J35" s="19"/>
      <c r="K35" s="19"/>
      <c r="L35" s="19"/>
      <c r="M35" s="19"/>
      <c r="N35" s="19"/>
      <c r="O35" s="19" t="s">
        <v>74</v>
      </c>
      <c r="P35" s="19">
        <v>2.0</v>
      </c>
      <c r="Q35" s="19">
        <v>0.0</v>
      </c>
      <c r="R35" s="19">
        <v>0.0</v>
      </c>
      <c r="S35" s="19">
        <v>0.0</v>
      </c>
      <c r="T35" s="19">
        <v>66.0</v>
      </c>
      <c r="U35" s="20" t="s">
        <v>87</v>
      </c>
      <c r="V35" s="19" t="s">
        <v>76</v>
      </c>
      <c r="W35" s="19" t="s">
        <v>88</v>
      </c>
      <c r="X35" s="19" t="s">
        <v>78</v>
      </c>
      <c r="Y35" s="19" t="s">
        <v>79</v>
      </c>
      <c r="Z35" s="19" t="s">
        <v>80</v>
      </c>
      <c r="AA35" s="19" t="s">
        <v>81</v>
      </c>
      <c r="AB35" s="19" t="s">
        <v>82</v>
      </c>
    </row>
    <row r="36" ht="15.75" customHeight="1">
      <c r="A36" s="18" t="s">
        <v>149</v>
      </c>
      <c r="B36" s="18" t="s">
        <v>99</v>
      </c>
      <c r="C36" s="18" t="s">
        <v>69</v>
      </c>
      <c r="D36" s="19">
        <v>6.25</v>
      </c>
      <c r="E36" s="19">
        <v>-10.35</v>
      </c>
      <c r="F36" s="19" t="s">
        <v>70</v>
      </c>
      <c r="G36" s="19">
        <v>24.0</v>
      </c>
      <c r="H36" s="19"/>
      <c r="I36" s="19"/>
      <c r="J36" s="19"/>
      <c r="K36" s="19"/>
      <c r="L36" s="19"/>
      <c r="M36" s="19"/>
      <c r="N36" s="19"/>
      <c r="O36" s="19" t="s">
        <v>94</v>
      </c>
      <c r="P36" s="19">
        <v>0.0</v>
      </c>
      <c r="Q36" s="19">
        <v>0.0</v>
      </c>
      <c r="R36" s="19">
        <v>0.0</v>
      </c>
      <c r="S36" s="19">
        <v>0.0</v>
      </c>
      <c r="T36" s="19">
        <v>45.0</v>
      </c>
      <c r="U36" s="20" t="s">
        <v>87</v>
      </c>
      <c r="V36" s="19" t="s">
        <v>76</v>
      </c>
      <c r="W36" s="19"/>
      <c r="X36" s="19" t="s">
        <v>78</v>
      </c>
      <c r="Y36" s="19" t="s">
        <v>79</v>
      </c>
      <c r="Z36" s="19" t="s">
        <v>130</v>
      </c>
      <c r="AA36" s="19" t="s">
        <v>76</v>
      </c>
      <c r="AB36" s="19" t="s">
        <v>82</v>
      </c>
    </row>
    <row r="37" ht="15.75" customHeight="1">
      <c r="A37" s="18" t="s">
        <v>150</v>
      </c>
      <c r="B37" s="18" t="s">
        <v>68</v>
      </c>
      <c r="C37" s="18" t="s">
        <v>69</v>
      </c>
      <c r="D37" s="19">
        <v>8.06</v>
      </c>
      <c r="E37" s="19">
        <v>-10.5</v>
      </c>
      <c r="F37" s="19" t="s">
        <v>108</v>
      </c>
      <c r="G37" s="19">
        <v>140.0</v>
      </c>
      <c r="H37" s="19"/>
      <c r="I37" s="19" t="s">
        <v>71</v>
      </c>
      <c r="J37" s="19" t="s">
        <v>72</v>
      </c>
      <c r="K37" s="19">
        <v>12.2</v>
      </c>
      <c r="L37" s="19">
        <v>3.77</v>
      </c>
      <c r="M37" s="19">
        <v>90.0</v>
      </c>
      <c r="N37" s="19" t="s">
        <v>123</v>
      </c>
      <c r="O37" s="19" t="s">
        <v>112</v>
      </c>
      <c r="P37" s="19">
        <v>3.0</v>
      </c>
      <c r="Q37" s="19">
        <v>2.0</v>
      </c>
      <c r="R37" s="19">
        <v>0.0</v>
      </c>
      <c r="S37" s="19">
        <v>0.0</v>
      </c>
      <c r="T37" s="19">
        <v>84.0</v>
      </c>
      <c r="U37" s="20" t="s">
        <v>87</v>
      </c>
      <c r="V37" s="19" t="s">
        <v>76</v>
      </c>
      <c r="W37" s="19" t="s">
        <v>77</v>
      </c>
      <c r="X37" s="19" t="s">
        <v>78</v>
      </c>
      <c r="Y37" s="19" t="s">
        <v>79</v>
      </c>
      <c r="Z37" s="19" t="s">
        <v>80</v>
      </c>
      <c r="AA37" s="19" t="s">
        <v>81</v>
      </c>
      <c r="AB37" s="19" t="s">
        <v>82</v>
      </c>
    </row>
    <row r="38" ht="15.75" customHeight="1">
      <c r="A38" s="18" t="s">
        <v>151</v>
      </c>
      <c r="B38" s="18" t="s">
        <v>102</v>
      </c>
      <c r="C38" s="18" t="s">
        <v>69</v>
      </c>
      <c r="D38" s="19">
        <v>7.01</v>
      </c>
      <c r="E38" s="19">
        <v>-11.37</v>
      </c>
      <c r="F38" s="19" t="s">
        <v>91</v>
      </c>
      <c r="G38" s="19">
        <v>24.0</v>
      </c>
      <c r="H38" s="19"/>
      <c r="I38" s="19" t="s">
        <v>86</v>
      </c>
      <c r="J38" s="19"/>
      <c r="K38" s="19"/>
      <c r="L38" s="19"/>
      <c r="M38" s="19"/>
      <c r="N38" s="19"/>
      <c r="O38" s="19" t="s">
        <v>74</v>
      </c>
      <c r="P38" s="19">
        <v>2.0</v>
      </c>
      <c r="Q38" s="19">
        <v>0.0</v>
      </c>
      <c r="R38" s="19">
        <v>1.0</v>
      </c>
      <c r="S38" s="19">
        <v>0.0</v>
      </c>
      <c r="T38" s="19">
        <v>70.0</v>
      </c>
      <c r="U38" s="20" t="s">
        <v>87</v>
      </c>
      <c r="V38" s="19" t="s">
        <v>76</v>
      </c>
      <c r="W38" s="19" t="s">
        <v>88</v>
      </c>
      <c r="X38" s="19" t="s">
        <v>78</v>
      </c>
      <c r="Y38" s="19" t="s">
        <v>79</v>
      </c>
      <c r="Z38" s="19" t="s">
        <v>80</v>
      </c>
      <c r="AA38" s="19" t="s">
        <v>76</v>
      </c>
      <c r="AB38" s="19" t="s">
        <v>82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3.71"/>
    <col customWidth="1" min="3" max="3" width="40.0"/>
    <col customWidth="1" min="4" max="4" width="11.0"/>
    <col customWidth="1" min="5" max="26" width="8.71"/>
  </cols>
  <sheetData>
    <row r="1">
      <c r="A1" s="16" t="s">
        <v>152</v>
      </c>
      <c r="B1" s="16" t="s">
        <v>40</v>
      </c>
      <c r="C1" s="16" t="s">
        <v>153</v>
      </c>
      <c r="D1" s="16" t="s">
        <v>154</v>
      </c>
    </row>
    <row r="2">
      <c r="A2" s="18" t="s">
        <v>124</v>
      </c>
      <c r="B2" s="18" t="s">
        <v>125</v>
      </c>
      <c r="C2" s="18" t="s">
        <v>155</v>
      </c>
      <c r="D2" s="19">
        <v>80.0</v>
      </c>
    </row>
    <row r="3">
      <c r="A3" s="18" t="s">
        <v>124</v>
      </c>
      <c r="B3" s="18" t="s">
        <v>125</v>
      </c>
      <c r="C3" s="18" t="s">
        <v>155</v>
      </c>
      <c r="D3" s="19">
        <v>60.0</v>
      </c>
    </row>
    <row r="4">
      <c r="A4" s="18" t="s">
        <v>124</v>
      </c>
      <c r="B4" s="18" t="s">
        <v>125</v>
      </c>
      <c r="C4" s="18" t="s">
        <v>156</v>
      </c>
      <c r="D4" s="19">
        <v>20.0</v>
      </c>
    </row>
    <row r="5">
      <c r="A5" s="18" t="s">
        <v>124</v>
      </c>
      <c r="B5" s="18" t="s">
        <v>125</v>
      </c>
      <c r="C5" s="18" t="s">
        <v>155</v>
      </c>
      <c r="D5" s="19">
        <v>70.0</v>
      </c>
    </row>
    <row r="6">
      <c r="A6" s="18" t="s">
        <v>124</v>
      </c>
      <c r="B6" s="18" t="s">
        <v>125</v>
      </c>
      <c r="C6" s="18" t="s">
        <v>155</v>
      </c>
      <c r="D6" s="19">
        <v>50.0</v>
      </c>
    </row>
    <row r="7">
      <c r="A7" s="18" t="s">
        <v>113</v>
      </c>
      <c r="B7" s="18" t="s">
        <v>68</v>
      </c>
      <c r="C7" s="18" t="s">
        <v>156</v>
      </c>
      <c r="D7" s="19">
        <v>90.0</v>
      </c>
    </row>
    <row r="8">
      <c r="A8" s="18" t="s">
        <v>113</v>
      </c>
      <c r="B8" s="18" t="s">
        <v>68</v>
      </c>
      <c r="C8" s="18" t="s">
        <v>157</v>
      </c>
      <c r="D8" s="19">
        <v>90.0</v>
      </c>
    </row>
    <row r="9">
      <c r="A9" s="18" t="s">
        <v>113</v>
      </c>
      <c r="B9" s="18" t="s">
        <v>68</v>
      </c>
      <c r="C9" s="18" t="s">
        <v>155</v>
      </c>
      <c r="D9" s="19">
        <v>80.0</v>
      </c>
    </row>
    <row r="10">
      <c r="A10" s="18" t="s">
        <v>113</v>
      </c>
      <c r="B10" s="18" t="s">
        <v>68</v>
      </c>
      <c r="C10" s="18" t="s">
        <v>156</v>
      </c>
      <c r="D10" s="19">
        <v>60.0</v>
      </c>
    </row>
    <row r="11">
      <c r="A11" s="18" t="s">
        <v>113</v>
      </c>
      <c r="B11" s="18" t="s">
        <v>68</v>
      </c>
      <c r="C11" s="18" t="s">
        <v>156</v>
      </c>
      <c r="D11" s="19">
        <v>70.0</v>
      </c>
    </row>
    <row r="12">
      <c r="A12" s="18" t="s">
        <v>113</v>
      </c>
      <c r="B12" s="18" t="s">
        <v>68</v>
      </c>
      <c r="C12" s="18" t="s">
        <v>156</v>
      </c>
      <c r="D12" s="19">
        <v>90.0</v>
      </c>
    </row>
    <row r="13">
      <c r="A13" s="18" t="s">
        <v>147</v>
      </c>
      <c r="B13" s="18" t="s">
        <v>102</v>
      </c>
      <c r="C13" s="18" t="s">
        <v>158</v>
      </c>
      <c r="D13" s="19">
        <v>80.0</v>
      </c>
    </row>
    <row r="14">
      <c r="A14" s="18" t="s">
        <v>147</v>
      </c>
      <c r="B14" s="18" t="s">
        <v>102</v>
      </c>
      <c r="C14" s="18" t="s">
        <v>158</v>
      </c>
      <c r="D14" s="19">
        <v>90.0</v>
      </c>
    </row>
    <row r="15">
      <c r="A15" s="18" t="s">
        <v>147</v>
      </c>
      <c r="B15" s="18" t="s">
        <v>102</v>
      </c>
      <c r="C15" s="18" t="s">
        <v>158</v>
      </c>
      <c r="D15" s="19">
        <v>90.0</v>
      </c>
    </row>
    <row r="16">
      <c r="A16" s="18" t="s">
        <v>147</v>
      </c>
      <c r="B16" s="18" t="s">
        <v>102</v>
      </c>
      <c r="C16" s="18" t="s">
        <v>159</v>
      </c>
      <c r="D16" s="19">
        <v>50.0</v>
      </c>
    </row>
    <row r="17">
      <c r="A17" s="18" t="s">
        <v>147</v>
      </c>
      <c r="B17" s="18" t="s">
        <v>102</v>
      </c>
      <c r="C17" s="18" t="s">
        <v>155</v>
      </c>
      <c r="D17" s="19">
        <v>80.0</v>
      </c>
    </row>
    <row r="18">
      <c r="A18" s="18" t="s">
        <v>141</v>
      </c>
      <c r="B18" s="18" t="s">
        <v>125</v>
      </c>
      <c r="C18" s="18" t="s">
        <v>155</v>
      </c>
      <c r="D18" s="19">
        <v>80.0</v>
      </c>
    </row>
    <row r="19">
      <c r="A19" s="18" t="s">
        <v>141</v>
      </c>
      <c r="B19" s="18" t="s">
        <v>125</v>
      </c>
      <c r="C19" s="18" t="s">
        <v>155</v>
      </c>
      <c r="D19" s="19">
        <v>30.0</v>
      </c>
    </row>
    <row r="20">
      <c r="A20" s="18" t="s">
        <v>141</v>
      </c>
      <c r="B20" s="18" t="s">
        <v>125</v>
      </c>
      <c r="C20" s="21" t="s">
        <v>160</v>
      </c>
      <c r="D20" s="19">
        <v>30.0</v>
      </c>
    </row>
    <row r="21" ht="15.75" customHeight="1">
      <c r="A21" s="18" t="s">
        <v>141</v>
      </c>
      <c r="B21" s="18" t="s">
        <v>125</v>
      </c>
      <c r="C21" s="18" t="s">
        <v>161</v>
      </c>
      <c r="D21" s="19">
        <v>90.0</v>
      </c>
    </row>
    <row r="22" ht="15.75" customHeight="1">
      <c r="A22" s="18" t="s">
        <v>141</v>
      </c>
      <c r="B22" s="18" t="s">
        <v>125</v>
      </c>
      <c r="C22" s="18" t="s">
        <v>155</v>
      </c>
      <c r="D22" s="19">
        <v>80.0</v>
      </c>
    </row>
    <row r="23" ht="15.75" customHeight="1">
      <c r="A23" s="18" t="s">
        <v>151</v>
      </c>
      <c r="B23" s="18" t="s">
        <v>102</v>
      </c>
      <c r="C23" s="18" t="s">
        <v>158</v>
      </c>
      <c r="D23" s="19">
        <v>90.0</v>
      </c>
    </row>
    <row r="24" ht="15.75" customHeight="1">
      <c r="A24" s="18" t="s">
        <v>151</v>
      </c>
      <c r="B24" s="18" t="s">
        <v>102</v>
      </c>
      <c r="C24" s="18" t="s">
        <v>158</v>
      </c>
      <c r="D24" s="19">
        <v>90.0</v>
      </c>
    </row>
    <row r="25" ht="15.75" customHeight="1">
      <c r="A25" s="18" t="s">
        <v>151</v>
      </c>
      <c r="B25" s="18" t="s">
        <v>102</v>
      </c>
      <c r="C25" s="18" t="s">
        <v>158</v>
      </c>
      <c r="D25" s="19">
        <v>80.0</v>
      </c>
    </row>
    <row r="26" ht="15.75" customHeight="1">
      <c r="A26" s="18" t="s">
        <v>151</v>
      </c>
      <c r="B26" s="18" t="s">
        <v>102</v>
      </c>
      <c r="C26" s="18" t="s">
        <v>159</v>
      </c>
      <c r="D26" s="19">
        <v>90.0</v>
      </c>
    </row>
    <row r="27" ht="15.75" customHeight="1">
      <c r="A27" s="18" t="s">
        <v>151</v>
      </c>
      <c r="B27" s="18" t="s">
        <v>102</v>
      </c>
      <c r="C27" s="18" t="s">
        <v>158</v>
      </c>
      <c r="D27" s="19">
        <v>20.0</v>
      </c>
    </row>
    <row r="28" ht="15.75" customHeight="1">
      <c r="A28" s="18" t="s">
        <v>151</v>
      </c>
      <c r="B28" s="18" t="s">
        <v>102</v>
      </c>
      <c r="C28" s="18" t="s">
        <v>158</v>
      </c>
      <c r="D28" s="19">
        <v>70.0</v>
      </c>
    </row>
    <row r="29" ht="15.75" customHeight="1">
      <c r="A29" s="18" t="s">
        <v>134</v>
      </c>
      <c r="B29" s="18" t="s">
        <v>102</v>
      </c>
      <c r="C29" s="18" t="s">
        <v>158</v>
      </c>
      <c r="D29" s="19">
        <v>70.0</v>
      </c>
    </row>
    <row r="30" ht="15.75" customHeight="1">
      <c r="A30" s="18" t="s">
        <v>131</v>
      </c>
      <c r="B30" s="18" t="s">
        <v>68</v>
      </c>
      <c r="C30" s="18" t="s">
        <v>162</v>
      </c>
      <c r="D30" s="19">
        <v>80.0</v>
      </c>
    </row>
    <row r="31" ht="15.75" customHeight="1">
      <c r="A31" s="18" t="s">
        <v>134</v>
      </c>
      <c r="B31" s="18" t="s">
        <v>102</v>
      </c>
      <c r="C31" s="18" t="s">
        <v>158</v>
      </c>
      <c r="D31" s="19">
        <v>80.0</v>
      </c>
    </row>
    <row r="32" ht="15.75" customHeight="1">
      <c r="A32" s="18" t="s">
        <v>131</v>
      </c>
      <c r="B32" s="18" t="s">
        <v>68</v>
      </c>
      <c r="C32" s="21" t="s">
        <v>160</v>
      </c>
      <c r="D32" s="19">
        <v>90.0</v>
      </c>
    </row>
    <row r="33" ht="15.75" customHeight="1">
      <c r="A33" s="18" t="s">
        <v>134</v>
      </c>
      <c r="B33" s="18" t="s">
        <v>102</v>
      </c>
      <c r="C33" s="18" t="s">
        <v>158</v>
      </c>
      <c r="D33" s="19">
        <v>70.0</v>
      </c>
    </row>
    <row r="34" ht="15.75" customHeight="1">
      <c r="A34" s="18" t="s">
        <v>134</v>
      </c>
      <c r="B34" s="18" t="s">
        <v>102</v>
      </c>
      <c r="C34" s="18" t="s">
        <v>158</v>
      </c>
      <c r="D34" s="19">
        <v>80.0</v>
      </c>
    </row>
    <row r="35" ht="15.75" customHeight="1">
      <c r="A35" s="18" t="s">
        <v>134</v>
      </c>
      <c r="B35" s="18" t="s">
        <v>102</v>
      </c>
      <c r="C35" s="18" t="s">
        <v>163</v>
      </c>
      <c r="D35" s="19">
        <v>80.0</v>
      </c>
    </row>
    <row r="36" ht="15.75" customHeight="1">
      <c r="A36" s="18" t="s">
        <v>131</v>
      </c>
      <c r="B36" s="18" t="s">
        <v>68</v>
      </c>
      <c r="C36" s="18" t="s">
        <v>156</v>
      </c>
      <c r="D36" s="19">
        <v>80.0</v>
      </c>
    </row>
    <row r="37" ht="15.75" customHeight="1">
      <c r="A37" s="18" t="s">
        <v>131</v>
      </c>
      <c r="B37" s="18" t="s">
        <v>68</v>
      </c>
      <c r="C37" s="18" t="s">
        <v>159</v>
      </c>
      <c r="D37" s="19">
        <v>80.0</v>
      </c>
    </row>
    <row r="38" ht="15.75" customHeight="1">
      <c r="A38" s="18" t="s">
        <v>131</v>
      </c>
      <c r="B38" s="18" t="s">
        <v>68</v>
      </c>
      <c r="C38" s="18" t="s">
        <v>164</v>
      </c>
      <c r="D38" s="19">
        <v>80.0</v>
      </c>
    </row>
    <row r="39" ht="15.75" customHeight="1">
      <c r="A39" s="18" t="s">
        <v>146</v>
      </c>
      <c r="B39" s="18" t="s">
        <v>119</v>
      </c>
      <c r="C39" s="18" t="s">
        <v>156</v>
      </c>
      <c r="D39" s="19">
        <v>70.0</v>
      </c>
    </row>
    <row r="40" ht="15.75" customHeight="1">
      <c r="A40" s="18" t="s">
        <v>146</v>
      </c>
      <c r="B40" s="18" t="s">
        <v>119</v>
      </c>
      <c r="C40" s="18" t="s">
        <v>159</v>
      </c>
      <c r="D40" s="19">
        <v>60.0</v>
      </c>
    </row>
    <row r="41" ht="15.75" customHeight="1">
      <c r="A41" s="18" t="s">
        <v>146</v>
      </c>
      <c r="B41" s="18" t="s">
        <v>119</v>
      </c>
      <c r="C41" s="18" t="s">
        <v>158</v>
      </c>
      <c r="D41" s="19">
        <v>80.0</v>
      </c>
    </row>
    <row r="42" ht="15.75" customHeight="1">
      <c r="A42" s="18" t="s">
        <v>146</v>
      </c>
      <c r="B42" s="18" t="s">
        <v>119</v>
      </c>
      <c r="C42" s="18" t="s">
        <v>158</v>
      </c>
      <c r="D42" s="19">
        <v>70.0</v>
      </c>
    </row>
    <row r="43" ht="15.75" customHeight="1">
      <c r="A43" s="18" t="s">
        <v>146</v>
      </c>
      <c r="B43" s="18" t="s">
        <v>119</v>
      </c>
      <c r="C43" s="18" t="s">
        <v>155</v>
      </c>
      <c r="D43" s="19">
        <v>50.0</v>
      </c>
    </row>
    <row r="44" ht="15.75" customHeight="1">
      <c r="A44" s="18" t="s">
        <v>128</v>
      </c>
      <c r="B44" s="18" t="s">
        <v>99</v>
      </c>
      <c r="C44" s="18" t="s">
        <v>156</v>
      </c>
      <c r="D44" s="19">
        <v>90.0</v>
      </c>
    </row>
    <row r="45" ht="15.75" customHeight="1">
      <c r="A45" s="18" t="s">
        <v>128</v>
      </c>
      <c r="B45" s="18" t="s">
        <v>99</v>
      </c>
      <c r="C45" s="18" t="s">
        <v>156</v>
      </c>
      <c r="D45" s="19">
        <v>70.0</v>
      </c>
    </row>
    <row r="46" ht="15.75" customHeight="1">
      <c r="A46" s="18" t="s">
        <v>128</v>
      </c>
      <c r="B46" s="18" t="s">
        <v>99</v>
      </c>
      <c r="C46" s="18" t="s">
        <v>155</v>
      </c>
      <c r="D46" s="19">
        <v>90.0</v>
      </c>
    </row>
    <row r="47" ht="15.75" customHeight="1">
      <c r="A47" s="18" t="s">
        <v>128</v>
      </c>
      <c r="B47" s="18" t="s">
        <v>99</v>
      </c>
      <c r="C47" s="18" t="s">
        <v>158</v>
      </c>
      <c r="D47" s="19">
        <v>70.0</v>
      </c>
    </row>
    <row r="48" ht="15.75" customHeight="1">
      <c r="A48" s="18" t="s">
        <v>128</v>
      </c>
      <c r="B48" s="18" t="s">
        <v>99</v>
      </c>
      <c r="C48" s="18" t="s">
        <v>158</v>
      </c>
      <c r="D48" s="19">
        <v>90.0</v>
      </c>
    </row>
    <row r="49" ht="15.75" customHeight="1">
      <c r="A49" s="18" t="s">
        <v>128</v>
      </c>
      <c r="B49" s="18" t="s">
        <v>99</v>
      </c>
      <c r="C49" s="18" t="s">
        <v>163</v>
      </c>
      <c r="D49" s="19">
        <v>70.0</v>
      </c>
    </row>
    <row r="50" ht="15.75" customHeight="1">
      <c r="A50" s="18" t="s">
        <v>118</v>
      </c>
      <c r="B50" s="18" t="s">
        <v>119</v>
      </c>
      <c r="C50" s="21" t="s">
        <v>160</v>
      </c>
      <c r="D50" s="19">
        <v>70.0</v>
      </c>
    </row>
    <row r="51" ht="15.75" customHeight="1">
      <c r="A51" s="18" t="s">
        <v>118</v>
      </c>
      <c r="B51" s="18" t="s">
        <v>119</v>
      </c>
      <c r="C51" s="18" t="s">
        <v>159</v>
      </c>
      <c r="D51" s="19">
        <v>50.0</v>
      </c>
    </row>
    <row r="52" ht="15.75" customHeight="1">
      <c r="A52" s="18" t="s">
        <v>118</v>
      </c>
      <c r="B52" s="18" t="s">
        <v>119</v>
      </c>
      <c r="C52" s="18" t="s">
        <v>155</v>
      </c>
      <c r="D52" s="19">
        <v>50.0</v>
      </c>
    </row>
    <row r="53" ht="15.75" customHeight="1">
      <c r="A53" s="18" t="s">
        <v>118</v>
      </c>
      <c r="B53" s="18" t="s">
        <v>119</v>
      </c>
      <c r="C53" s="21" t="s">
        <v>160</v>
      </c>
      <c r="D53" s="19">
        <v>70.0</v>
      </c>
    </row>
    <row r="54" ht="15.75" customHeight="1">
      <c r="A54" s="18" t="s">
        <v>145</v>
      </c>
      <c r="B54" s="18" t="s">
        <v>68</v>
      </c>
      <c r="C54" s="18" t="s">
        <v>156</v>
      </c>
      <c r="D54" s="19">
        <v>90.0</v>
      </c>
    </row>
    <row r="55" ht="15.75" customHeight="1">
      <c r="A55" s="18" t="s">
        <v>118</v>
      </c>
      <c r="B55" s="18" t="s">
        <v>119</v>
      </c>
      <c r="C55" s="18" t="s">
        <v>158</v>
      </c>
      <c r="D55" s="19">
        <v>90.0</v>
      </c>
    </row>
    <row r="56" ht="15.75" customHeight="1">
      <c r="A56" s="18" t="s">
        <v>145</v>
      </c>
      <c r="B56" s="18" t="s">
        <v>68</v>
      </c>
      <c r="C56" s="18" t="s">
        <v>159</v>
      </c>
      <c r="D56" s="19">
        <v>40.0</v>
      </c>
    </row>
    <row r="57" ht="15.75" customHeight="1">
      <c r="A57" s="18" t="s">
        <v>136</v>
      </c>
      <c r="B57" s="18" t="s">
        <v>99</v>
      </c>
      <c r="C57" s="18" t="s">
        <v>155</v>
      </c>
      <c r="D57" s="19">
        <v>70.0</v>
      </c>
    </row>
    <row r="58" ht="15.75" customHeight="1">
      <c r="A58" s="18" t="s">
        <v>136</v>
      </c>
      <c r="B58" s="18" t="s">
        <v>99</v>
      </c>
      <c r="C58" s="18" t="s">
        <v>165</v>
      </c>
      <c r="D58" s="19">
        <v>60.0</v>
      </c>
    </row>
    <row r="59" ht="15.75" customHeight="1">
      <c r="A59" s="18" t="s">
        <v>136</v>
      </c>
      <c r="B59" s="18" t="s">
        <v>99</v>
      </c>
      <c r="C59" s="18" t="s">
        <v>158</v>
      </c>
      <c r="D59" s="19">
        <v>70.0</v>
      </c>
    </row>
    <row r="60" ht="15.75" customHeight="1">
      <c r="A60" s="18" t="s">
        <v>136</v>
      </c>
      <c r="B60" s="18" t="s">
        <v>99</v>
      </c>
      <c r="C60" s="18" t="s">
        <v>159</v>
      </c>
      <c r="D60" s="19">
        <v>60.0</v>
      </c>
    </row>
    <row r="61" ht="15.75" customHeight="1">
      <c r="A61" s="18" t="s">
        <v>145</v>
      </c>
      <c r="B61" s="18" t="s">
        <v>68</v>
      </c>
      <c r="C61" s="18" t="s">
        <v>155</v>
      </c>
      <c r="D61" s="19">
        <v>70.0</v>
      </c>
    </row>
    <row r="62" ht="15.75" customHeight="1">
      <c r="A62" s="18" t="s">
        <v>145</v>
      </c>
      <c r="B62" s="18" t="s">
        <v>68</v>
      </c>
      <c r="C62" s="18" t="s">
        <v>156</v>
      </c>
      <c r="D62" s="19">
        <v>70.0</v>
      </c>
    </row>
    <row r="63" ht="15.75" customHeight="1">
      <c r="A63" s="18" t="s">
        <v>128</v>
      </c>
      <c r="B63" s="18" t="s">
        <v>99</v>
      </c>
      <c r="C63" s="21" t="s">
        <v>160</v>
      </c>
      <c r="D63" s="19">
        <v>70.0</v>
      </c>
    </row>
    <row r="64" ht="15.75" customHeight="1">
      <c r="A64" s="18" t="s">
        <v>145</v>
      </c>
      <c r="B64" s="18" t="s">
        <v>68</v>
      </c>
      <c r="C64" s="18" t="s">
        <v>166</v>
      </c>
      <c r="D64" s="19">
        <v>70.0</v>
      </c>
    </row>
    <row r="65" ht="15.75" customHeight="1">
      <c r="A65" s="18" t="s">
        <v>145</v>
      </c>
      <c r="B65" s="18" t="s">
        <v>68</v>
      </c>
      <c r="C65" s="18" t="s">
        <v>155</v>
      </c>
      <c r="D65" s="19">
        <v>90.0</v>
      </c>
    </row>
    <row r="66" ht="15.75" customHeight="1">
      <c r="A66" s="18" t="s">
        <v>67</v>
      </c>
      <c r="B66" s="18" t="s">
        <v>68</v>
      </c>
      <c r="C66" s="18" t="s">
        <v>156</v>
      </c>
      <c r="D66" s="19">
        <v>70.0</v>
      </c>
    </row>
    <row r="67" ht="15.75" customHeight="1">
      <c r="A67" s="18" t="s">
        <v>67</v>
      </c>
      <c r="B67" s="18" t="s">
        <v>68</v>
      </c>
      <c r="C67" s="18" t="s">
        <v>155</v>
      </c>
      <c r="D67" s="19">
        <v>70.0</v>
      </c>
    </row>
    <row r="68" ht="15.75" customHeight="1">
      <c r="A68" s="18" t="s">
        <v>67</v>
      </c>
      <c r="B68" s="18" t="s">
        <v>68</v>
      </c>
      <c r="C68" s="18" t="s">
        <v>159</v>
      </c>
      <c r="D68" s="19">
        <v>40.0</v>
      </c>
    </row>
    <row r="69" ht="15.75" customHeight="1">
      <c r="A69" s="18" t="s">
        <v>67</v>
      </c>
      <c r="B69" s="18" t="s">
        <v>68</v>
      </c>
      <c r="C69" s="18" t="s">
        <v>167</v>
      </c>
      <c r="D69" s="19">
        <v>90.0</v>
      </c>
    </row>
    <row r="70" ht="15.75" customHeight="1">
      <c r="A70" s="18" t="s">
        <v>67</v>
      </c>
      <c r="B70" s="18" t="s">
        <v>68</v>
      </c>
      <c r="C70" s="18" t="s">
        <v>155</v>
      </c>
      <c r="D70" s="19">
        <v>90.0</v>
      </c>
    </row>
    <row r="71" ht="15.75" customHeight="1">
      <c r="A71" s="18" t="s">
        <v>138</v>
      </c>
      <c r="B71" s="18" t="s">
        <v>84</v>
      </c>
      <c r="C71" s="18" t="s">
        <v>168</v>
      </c>
      <c r="D71" s="19">
        <v>70.0</v>
      </c>
    </row>
    <row r="72" ht="15.75" customHeight="1">
      <c r="A72" s="18" t="s">
        <v>138</v>
      </c>
      <c r="B72" s="18" t="s">
        <v>84</v>
      </c>
      <c r="C72" s="18" t="s">
        <v>158</v>
      </c>
      <c r="D72" s="19">
        <v>80.0</v>
      </c>
    </row>
    <row r="73" ht="15.75" customHeight="1">
      <c r="A73" s="18" t="s">
        <v>138</v>
      </c>
      <c r="B73" s="18" t="s">
        <v>84</v>
      </c>
      <c r="C73" s="18" t="s">
        <v>169</v>
      </c>
      <c r="D73" s="19">
        <v>70.0</v>
      </c>
    </row>
    <row r="74" ht="15.75" customHeight="1">
      <c r="A74" s="18" t="s">
        <v>138</v>
      </c>
      <c r="B74" s="18" t="s">
        <v>84</v>
      </c>
      <c r="C74" s="18" t="s">
        <v>170</v>
      </c>
      <c r="D74" s="19">
        <v>90.0</v>
      </c>
    </row>
    <row r="75" ht="15.75" customHeight="1">
      <c r="A75" s="18" t="s">
        <v>138</v>
      </c>
      <c r="B75" s="18" t="s">
        <v>84</v>
      </c>
      <c r="C75" s="18" t="s">
        <v>171</v>
      </c>
      <c r="D75" s="19">
        <v>80.0</v>
      </c>
    </row>
    <row r="76" ht="15.75" customHeight="1">
      <c r="A76" s="18" t="s">
        <v>93</v>
      </c>
      <c r="B76" s="18" t="s">
        <v>84</v>
      </c>
      <c r="C76" s="18" t="s">
        <v>158</v>
      </c>
      <c r="D76" s="19">
        <v>70.0</v>
      </c>
    </row>
    <row r="77" ht="15.75" customHeight="1">
      <c r="A77" s="18" t="s">
        <v>93</v>
      </c>
      <c r="B77" s="18" t="s">
        <v>84</v>
      </c>
      <c r="C77" s="18" t="s">
        <v>158</v>
      </c>
      <c r="D77" s="19">
        <v>70.0</v>
      </c>
    </row>
    <row r="78" ht="15.75" customHeight="1">
      <c r="A78" s="18" t="s">
        <v>93</v>
      </c>
      <c r="B78" s="18" t="s">
        <v>84</v>
      </c>
      <c r="C78" s="18" t="s">
        <v>158</v>
      </c>
      <c r="D78" s="19">
        <v>80.0</v>
      </c>
    </row>
    <row r="79" ht="15.75" customHeight="1">
      <c r="A79" s="18" t="s">
        <v>133</v>
      </c>
      <c r="B79" s="18" t="s">
        <v>117</v>
      </c>
      <c r="C79" s="18" t="s">
        <v>155</v>
      </c>
      <c r="D79" s="19">
        <v>60.0</v>
      </c>
    </row>
    <row r="80" ht="15.75" customHeight="1">
      <c r="A80" s="18" t="s">
        <v>133</v>
      </c>
      <c r="B80" s="18" t="s">
        <v>117</v>
      </c>
      <c r="C80" s="18" t="s">
        <v>172</v>
      </c>
      <c r="D80" s="19">
        <v>60.0</v>
      </c>
    </row>
    <row r="81" ht="15.75" customHeight="1">
      <c r="A81" s="18" t="s">
        <v>133</v>
      </c>
      <c r="B81" s="18" t="s">
        <v>117</v>
      </c>
      <c r="C81" s="18" t="s">
        <v>163</v>
      </c>
      <c r="D81" s="19">
        <v>60.0</v>
      </c>
    </row>
    <row r="82" ht="15.75" customHeight="1">
      <c r="A82" s="18" t="s">
        <v>133</v>
      </c>
      <c r="B82" s="18" t="s">
        <v>117</v>
      </c>
      <c r="C82" s="18" t="s">
        <v>159</v>
      </c>
      <c r="D82" s="19">
        <v>60.0</v>
      </c>
    </row>
    <row r="83" ht="15.75" customHeight="1">
      <c r="A83" s="18" t="s">
        <v>133</v>
      </c>
      <c r="B83" s="18" t="s">
        <v>117</v>
      </c>
      <c r="C83" s="21" t="s">
        <v>160</v>
      </c>
      <c r="D83" s="19">
        <v>90.0</v>
      </c>
    </row>
    <row r="84" ht="15.75" customHeight="1">
      <c r="A84" s="18" t="s">
        <v>122</v>
      </c>
      <c r="B84" s="18" t="s">
        <v>84</v>
      </c>
      <c r="C84" s="18" t="s">
        <v>158</v>
      </c>
      <c r="D84" s="19">
        <v>80.0</v>
      </c>
    </row>
    <row r="85" ht="15.75" customHeight="1">
      <c r="A85" s="18" t="s">
        <v>122</v>
      </c>
      <c r="B85" s="18" t="s">
        <v>84</v>
      </c>
      <c r="C85" s="18" t="s">
        <v>173</v>
      </c>
      <c r="D85" s="19">
        <v>80.0</v>
      </c>
    </row>
    <row r="86" ht="15.75" customHeight="1">
      <c r="A86" s="18" t="s">
        <v>122</v>
      </c>
      <c r="B86" s="18" t="s">
        <v>84</v>
      </c>
      <c r="C86" s="18" t="s">
        <v>155</v>
      </c>
      <c r="D86" s="19">
        <v>60.0</v>
      </c>
    </row>
    <row r="87" ht="15.75" customHeight="1">
      <c r="A87" s="18" t="s">
        <v>137</v>
      </c>
      <c r="B87" s="18" t="s">
        <v>84</v>
      </c>
      <c r="C87" s="18" t="s">
        <v>174</v>
      </c>
      <c r="D87" s="19">
        <v>80.0</v>
      </c>
    </row>
    <row r="88" ht="15.75" customHeight="1">
      <c r="A88" s="18" t="s">
        <v>137</v>
      </c>
      <c r="B88" s="18" t="s">
        <v>84</v>
      </c>
      <c r="C88" s="18" t="s">
        <v>158</v>
      </c>
      <c r="D88" s="19">
        <v>80.0</v>
      </c>
    </row>
    <row r="89" ht="15.75" customHeight="1">
      <c r="A89" s="18" t="s">
        <v>137</v>
      </c>
      <c r="B89" s="18" t="s">
        <v>84</v>
      </c>
      <c r="C89" s="18" t="s">
        <v>175</v>
      </c>
      <c r="D89" s="19">
        <v>50.0</v>
      </c>
    </row>
    <row r="90" ht="15.75" customHeight="1">
      <c r="A90" s="18" t="s">
        <v>137</v>
      </c>
      <c r="B90" s="18" t="s">
        <v>84</v>
      </c>
      <c r="C90" s="18" t="s">
        <v>174</v>
      </c>
      <c r="D90" s="19">
        <v>60.0</v>
      </c>
    </row>
    <row r="91" ht="15.75" customHeight="1">
      <c r="A91" s="18" t="s">
        <v>137</v>
      </c>
      <c r="B91" s="18" t="s">
        <v>84</v>
      </c>
      <c r="C91" s="18" t="s">
        <v>158</v>
      </c>
      <c r="D91" s="19">
        <v>60.0</v>
      </c>
    </row>
    <row r="92" ht="15.75" customHeight="1">
      <c r="A92" s="18" t="s">
        <v>140</v>
      </c>
      <c r="B92" s="18" t="s">
        <v>84</v>
      </c>
      <c r="C92" s="18" t="s">
        <v>176</v>
      </c>
      <c r="D92" s="19">
        <v>70.0</v>
      </c>
    </row>
    <row r="93" ht="15.75" customHeight="1">
      <c r="A93" s="18" t="s">
        <v>140</v>
      </c>
      <c r="B93" s="18" t="s">
        <v>84</v>
      </c>
      <c r="C93" s="18" t="s">
        <v>177</v>
      </c>
      <c r="D93" s="19">
        <v>70.0</v>
      </c>
    </row>
    <row r="94" ht="15.75" customHeight="1">
      <c r="A94" s="18" t="s">
        <v>140</v>
      </c>
      <c r="B94" s="18" t="s">
        <v>84</v>
      </c>
      <c r="C94" s="18" t="s">
        <v>178</v>
      </c>
      <c r="D94" s="19">
        <v>80.0</v>
      </c>
    </row>
    <row r="95" ht="15.75" customHeight="1">
      <c r="A95" s="18" t="s">
        <v>83</v>
      </c>
      <c r="B95" s="18" t="s">
        <v>84</v>
      </c>
      <c r="C95" s="18" t="s">
        <v>156</v>
      </c>
      <c r="D95" s="19">
        <v>90.0</v>
      </c>
    </row>
    <row r="96" ht="15.75" customHeight="1">
      <c r="A96" s="18" t="s">
        <v>83</v>
      </c>
      <c r="B96" s="18" t="s">
        <v>84</v>
      </c>
      <c r="C96" s="18" t="s">
        <v>156</v>
      </c>
      <c r="D96" s="19">
        <v>80.0</v>
      </c>
    </row>
    <row r="97" ht="15.75" customHeight="1">
      <c r="A97" s="18" t="s">
        <v>83</v>
      </c>
      <c r="B97" s="18" t="s">
        <v>84</v>
      </c>
      <c r="C97" s="18" t="s">
        <v>179</v>
      </c>
      <c r="D97" s="19">
        <v>90.0</v>
      </c>
    </row>
    <row r="98" ht="15.75" customHeight="1">
      <c r="A98" s="18" t="s">
        <v>83</v>
      </c>
      <c r="B98" s="18" t="s">
        <v>84</v>
      </c>
      <c r="C98" s="18" t="s">
        <v>155</v>
      </c>
      <c r="D98" s="19">
        <v>60.0</v>
      </c>
    </row>
    <row r="99" ht="15.75" customHeight="1">
      <c r="A99" s="18" t="s">
        <v>83</v>
      </c>
      <c r="B99" s="18" t="s">
        <v>84</v>
      </c>
      <c r="C99" s="18" t="s">
        <v>158</v>
      </c>
      <c r="D99" s="19">
        <v>70.0</v>
      </c>
    </row>
    <row r="100" ht="15.75" customHeight="1">
      <c r="A100" s="18" t="s">
        <v>116</v>
      </c>
      <c r="B100" s="18" t="s">
        <v>117</v>
      </c>
      <c r="C100" s="18" t="s">
        <v>159</v>
      </c>
      <c r="D100" s="19">
        <v>50.0</v>
      </c>
    </row>
    <row r="101" ht="15.75" customHeight="1">
      <c r="A101" s="18" t="s">
        <v>115</v>
      </c>
      <c r="B101" s="18" t="s">
        <v>117</v>
      </c>
      <c r="C101" s="18" t="s">
        <v>158</v>
      </c>
      <c r="D101" s="19">
        <v>50.0</v>
      </c>
    </row>
    <row r="102" ht="15.75" customHeight="1">
      <c r="A102" s="18" t="s">
        <v>116</v>
      </c>
      <c r="B102" s="18" t="s">
        <v>117</v>
      </c>
      <c r="C102" s="18" t="s">
        <v>159</v>
      </c>
      <c r="D102" s="19">
        <v>70.0</v>
      </c>
    </row>
    <row r="103" ht="15.75" customHeight="1">
      <c r="A103" s="18" t="s">
        <v>115</v>
      </c>
      <c r="B103" s="18" t="s">
        <v>117</v>
      </c>
      <c r="C103" s="18" t="s">
        <v>180</v>
      </c>
      <c r="D103" s="19">
        <v>80.0</v>
      </c>
    </row>
    <row r="104" ht="15.75" customHeight="1">
      <c r="A104" s="18" t="s">
        <v>95</v>
      </c>
      <c r="B104" s="18" t="s">
        <v>84</v>
      </c>
      <c r="C104" s="18" t="s">
        <v>155</v>
      </c>
      <c r="D104" s="19">
        <v>70.0</v>
      </c>
    </row>
    <row r="105" ht="15.75" customHeight="1">
      <c r="A105" s="18" t="s">
        <v>95</v>
      </c>
      <c r="B105" s="18" t="s">
        <v>84</v>
      </c>
      <c r="C105" s="18" t="s">
        <v>170</v>
      </c>
      <c r="D105" s="19">
        <v>80.0</v>
      </c>
    </row>
    <row r="106" ht="15.75" customHeight="1">
      <c r="A106" s="18" t="s">
        <v>107</v>
      </c>
      <c r="B106" s="18" t="s">
        <v>84</v>
      </c>
      <c r="C106" s="18" t="s">
        <v>158</v>
      </c>
      <c r="D106" s="19">
        <v>70.0</v>
      </c>
    </row>
    <row r="107" ht="15.75" customHeight="1">
      <c r="A107" s="18" t="s">
        <v>95</v>
      </c>
      <c r="B107" s="18" t="s">
        <v>84</v>
      </c>
      <c r="C107" s="18" t="s">
        <v>174</v>
      </c>
      <c r="D107" s="19">
        <v>80.0</v>
      </c>
    </row>
    <row r="108" ht="15.75" customHeight="1">
      <c r="A108" s="18" t="s">
        <v>107</v>
      </c>
      <c r="B108" s="18" t="s">
        <v>84</v>
      </c>
      <c r="C108" s="18" t="s">
        <v>158</v>
      </c>
      <c r="D108" s="19">
        <v>60.0</v>
      </c>
    </row>
    <row r="109" ht="15.75" customHeight="1">
      <c r="A109" s="18" t="s">
        <v>95</v>
      </c>
      <c r="B109" s="18" t="s">
        <v>84</v>
      </c>
      <c r="C109" s="18" t="s">
        <v>158</v>
      </c>
      <c r="D109" s="19">
        <v>80.0</v>
      </c>
    </row>
    <row r="110" ht="15.75" customHeight="1">
      <c r="A110" s="18" t="s">
        <v>107</v>
      </c>
      <c r="B110" s="18" t="s">
        <v>84</v>
      </c>
      <c r="C110" s="18" t="s">
        <v>158</v>
      </c>
      <c r="D110" s="19">
        <v>60.0</v>
      </c>
    </row>
    <row r="111" ht="15.75" customHeight="1">
      <c r="A111" s="18" t="s">
        <v>95</v>
      </c>
      <c r="B111" s="18" t="s">
        <v>84</v>
      </c>
      <c r="C111" s="18" t="s">
        <v>155</v>
      </c>
      <c r="D111" s="19">
        <v>60.0</v>
      </c>
    </row>
    <row r="112" ht="15.75" customHeight="1">
      <c r="A112" s="18" t="s">
        <v>106</v>
      </c>
      <c r="B112" s="18" t="s">
        <v>84</v>
      </c>
      <c r="C112" s="18" t="s">
        <v>158</v>
      </c>
      <c r="D112" s="19">
        <v>80.0</v>
      </c>
    </row>
    <row r="113" ht="15.75" customHeight="1">
      <c r="A113" s="18" t="s">
        <v>106</v>
      </c>
      <c r="B113" s="18" t="s">
        <v>84</v>
      </c>
      <c r="C113" s="18" t="s">
        <v>158</v>
      </c>
      <c r="D113" s="19">
        <v>30.0</v>
      </c>
    </row>
    <row r="114" ht="15.75" customHeight="1">
      <c r="A114" s="18" t="s">
        <v>150</v>
      </c>
      <c r="B114" s="18" t="s">
        <v>111</v>
      </c>
      <c r="C114" s="21" t="s">
        <v>160</v>
      </c>
      <c r="D114" s="19">
        <v>90.0</v>
      </c>
    </row>
    <row r="115" ht="15.75" customHeight="1">
      <c r="A115" s="18" t="s">
        <v>150</v>
      </c>
      <c r="B115" s="18" t="s">
        <v>111</v>
      </c>
      <c r="C115" s="18" t="s">
        <v>158</v>
      </c>
      <c r="D115" s="19">
        <v>80.0</v>
      </c>
    </row>
    <row r="116" ht="15.75" customHeight="1">
      <c r="A116" s="18" t="s">
        <v>150</v>
      </c>
      <c r="B116" s="18" t="s">
        <v>111</v>
      </c>
      <c r="C116" s="18" t="s">
        <v>156</v>
      </c>
      <c r="D116" s="19">
        <v>90.0</v>
      </c>
    </row>
    <row r="117" ht="15.75" customHeight="1">
      <c r="A117" s="18" t="s">
        <v>150</v>
      </c>
      <c r="B117" s="18" t="s">
        <v>111</v>
      </c>
      <c r="C117" s="18" t="s">
        <v>156</v>
      </c>
      <c r="D117" s="19">
        <v>80.0</v>
      </c>
    </row>
    <row r="118" ht="15.75" customHeight="1">
      <c r="A118" s="18" t="s">
        <v>150</v>
      </c>
      <c r="B118" s="18" t="s">
        <v>111</v>
      </c>
      <c r="C118" s="18" t="s">
        <v>155</v>
      </c>
      <c r="D118" s="19">
        <v>80.0</v>
      </c>
    </row>
    <row r="119" ht="15.75" customHeight="1">
      <c r="A119" s="18" t="s">
        <v>110</v>
      </c>
      <c r="B119" s="18" t="s">
        <v>111</v>
      </c>
      <c r="C119" s="18" t="s">
        <v>181</v>
      </c>
      <c r="D119" s="19">
        <v>20.0</v>
      </c>
    </row>
    <row r="120" ht="15.75" customHeight="1">
      <c r="A120" s="18" t="s">
        <v>110</v>
      </c>
      <c r="B120" s="18" t="s">
        <v>111</v>
      </c>
      <c r="C120" s="18" t="s">
        <v>156</v>
      </c>
      <c r="D120" s="19">
        <v>70.0</v>
      </c>
    </row>
    <row r="121" ht="15.75" customHeight="1">
      <c r="A121" s="18" t="s">
        <v>110</v>
      </c>
      <c r="B121" s="18" t="s">
        <v>111</v>
      </c>
      <c r="C121" s="18" t="s">
        <v>158</v>
      </c>
      <c r="D121" s="19">
        <v>70.0</v>
      </c>
    </row>
    <row r="122" ht="15.75" customHeight="1">
      <c r="A122" s="18" t="s">
        <v>110</v>
      </c>
      <c r="B122" s="18" t="s">
        <v>111</v>
      </c>
      <c r="C122" s="18" t="s">
        <v>159</v>
      </c>
      <c r="D122" s="19">
        <v>80.0</v>
      </c>
    </row>
    <row r="123" ht="15.75" customHeight="1">
      <c r="A123" s="18" t="s">
        <v>110</v>
      </c>
      <c r="B123" s="18" t="s">
        <v>111</v>
      </c>
      <c r="C123" s="18" t="s">
        <v>159</v>
      </c>
      <c r="D123" s="19">
        <v>80.0</v>
      </c>
    </row>
    <row r="124" ht="15.75" customHeight="1">
      <c r="A124" s="18" t="s">
        <v>98</v>
      </c>
      <c r="B124" s="18" t="s">
        <v>99</v>
      </c>
      <c r="C124" s="21" t="s">
        <v>160</v>
      </c>
      <c r="D124" s="19">
        <v>90.0</v>
      </c>
    </row>
    <row r="125" ht="15.75" customHeight="1">
      <c r="A125" s="18" t="s">
        <v>98</v>
      </c>
      <c r="B125" s="18" t="s">
        <v>99</v>
      </c>
      <c r="C125" s="18" t="s">
        <v>182</v>
      </c>
      <c r="D125" s="19">
        <v>60.0</v>
      </c>
    </row>
    <row r="126" ht="15.75" customHeight="1">
      <c r="A126" s="18" t="s">
        <v>98</v>
      </c>
      <c r="B126" s="18" t="s">
        <v>99</v>
      </c>
      <c r="C126" s="18" t="s">
        <v>183</v>
      </c>
      <c r="D126" s="19">
        <v>80.0</v>
      </c>
    </row>
    <row r="127" ht="15.75" customHeight="1">
      <c r="A127" s="18" t="s">
        <v>132</v>
      </c>
      <c r="B127" s="18" t="s">
        <v>111</v>
      </c>
      <c r="C127" s="21" t="s">
        <v>160</v>
      </c>
      <c r="D127" s="19">
        <v>70.0</v>
      </c>
    </row>
    <row r="128" ht="15.75" customHeight="1">
      <c r="A128" s="18" t="s">
        <v>132</v>
      </c>
      <c r="B128" s="18" t="s">
        <v>111</v>
      </c>
      <c r="C128" s="18" t="s">
        <v>155</v>
      </c>
      <c r="D128" s="19">
        <v>80.0</v>
      </c>
    </row>
    <row r="129" ht="15.75" customHeight="1">
      <c r="A129" s="18" t="s">
        <v>132</v>
      </c>
      <c r="B129" s="18" t="s">
        <v>111</v>
      </c>
      <c r="C129" s="18" t="s">
        <v>159</v>
      </c>
      <c r="D129" s="19">
        <v>60.0</v>
      </c>
    </row>
    <row r="130" ht="15.75" customHeight="1">
      <c r="A130" s="18" t="s">
        <v>132</v>
      </c>
      <c r="B130" s="18" t="s">
        <v>111</v>
      </c>
      <c r="C130" s="18" t="s">
        <v>159</v>
      </c>
      <c r="D130" s="19">
        <v>60.0</v>
      </c>
    </row>
    <row r="131" ht="15.75" customHeight="1">
      <c r="A131" s="18" t="s">
        <v>132</v>
      </c>
      <c r="B131" s="18" t="s">
        <v>111</v>
      </c>
      <c r="C131" s="18" t="s">
        <v>156</v>
      </c>
      <c r="D131" s="19">
        <v>80.0</v>
      </c>
    </row>
    <row r="132" ht="15.75" customHeight="1">
      <c r="A132" s="18" t="s">
        <v>132</v>
      </c>
      <c r="B132" s="18" t="s">
        <v>111</v>
      </c>
      <c r="C132" s="18" t="s">
        <v>158</v>
      </c>
      <c r="D132" s="19">
        <v>90.0</v>
      </c>
    </row>
    <row r="133" ht="15.75" customHeight="1">
      <c r="A133" s="18" t="s">
        <v>104</v>
      </c>
      <c r="B133" s="18" t="s">
        <v>99</v>
      </c>
      <c r="C133" s="18" t="s">
        <v>158</v>
      </c>
      <c r="D133" s="19">
        <v>90.0</v>
      </c>
    </row>
    <row r="134" ht="15.75" customHeight="1">
      <c r="A134" s="18" t="s">
        <v>104</v>
      </c>
      <c r="B134" s="18" t="s">
        <v>99</v>
      </c>
      <c r="C134" s="18" t="s">
        <v>176</v>
      </c>
      <c r="D134" s="19">
        <v>70.0</v>
      </c>
    </row>
    <row r="135" ht="15.75" customHeight="1">
      <c r="A135" s="18" t="s">
        <v>104</v>
      </c>
      <c r="B135" s="18" t="s">
        <v>99</v>
      </c>
      <c r="C135" s="18" t="s">
        <v>159</v>
      </c>
      <c r="D135" s="19">
        <v>40.0</v>
      </c>
    </row>
    <row r="136" ht="15.75" customHeight="1">
      <c r="A136" s="18" t="s">
        <v>89</v>
      </c>
      <c r="B136" s="18" t="s">
        <v>90</v>
      </c>
      <c r="C136" s="18" t="s">
        <v>170</v>
      </c>
      <c r="D136" s="19">
        <v>70.0</v>
      </c>
    </row>
    <row r="137" ht="15.75" customHeight="1">
      <c r="A137" s="18" t="s">
        <v>89</v>
      </c>
      <c r="B137" s="18" t="s">
        <v>90</v>
      </c>
      <c r="C137" s="18" t="s">
        <v>159</v>
      </c>
      <c r="D137" s="19">
        <v>50.0</v>
      </c>
    </row>
    <row r="138" ht="15.75" customHeight="1">
      <c r="A138" s="18" t="s">
        <v>89</v>
      </c>
      <c r="B138" s="18" t="s">
        <v>90</v>
      </c>
      <c r="C138" s="18" t="s">
        <v>163</v>
      </c>
      <c r="D138" s="19">
        <v>80.0</v>
      </c>
    </row>
    <row r="139" ht="15.75" customHeight="1">
      <c r="A139" s="18" t="s">
        <v>89</v>
      </c>
      <c r="B139" s="18" t="s">
        <v>90</v>
      </c>
      <c r="C139" s="18" t="s">
        <v>155</v>
      </c>
      <c r="D139" s="19">
        <v>100.0</v>
      </c>
    </row>
    <row r="140" ht="15.75" customHeight="1">
      <c r="A140" s="18" t="s">
        <v>149</v>
      </c>
      <c r="B140" s="18" t="s">
        <v>99</v>
      </c>
      <c r="C140" s="18" t="s">
        <v>170</v>
      </c>
      <c r="D140" s="19">
        <v>50.0</v>
      </c>
    </row>
    <row r="141" ht="15.75" customHeight="1">
      <c r="A141" s="18" t="s">
        <v>149</v>
      </c>
      <c r="B141" s="18" t="s">
        <v>99</v>
      </c>
      <c r="C141" s="18" t="s">
        <v>184</v>
      </c>
      <c r="D141" s="19">
        <v>40.0</v>
      </c>
    </row>
    <row r="142" ht="15.75" customHeight="1">
      <c r="A142" s="18" t="s">
        <v>89</v>
      </c>
      <c r="B142" s="18" t="s">
        <v>90</v>
      </c>
      <c r="C142" s="18" t="s">
        <v>158</v>
      </c>
      <c r="D142" s="19">
        <v>70.0</v>
      </c>
    </row>
    <row r="143" ht="15.75" customHeight="1">
      <c r="A143" s="18" t="s">
        <v>115</v>
      </c>
      <c r="B143" s="18" t="s">
        <v>99</v>
      </c>
      <c r="C143" s="18" t="s">
        <v>185</v>
      </c>
      <c r="D143" s="19">
        <v>60.0</v>
      </c>
    </row>
    <row r="144" ht="15.75" customHeight="1">
      <c r="A144" s="18" t="s">
        <v>115</v>
      </c>
      <c r="B144" s="18" t="s">
        <v>99</v>
      </c>
      <c r="C144" s="18" t="s">
        <v>158</v>
      </c>
      <c r="D144" s="19">
        <v>40.0</v>
      </c>
    </row>
    <row r="145" ht="15.75" customHeight="1">
      <c r="A145" s="18" t="s">
        <v>115</v>
      </c>
      <c r="B145" s="18" t="s">
        <v>99</v>
      </c>
      <c r="C145" s="18" t="s">
        <v>155</v>
      </c>
      <c r="D145" s="19">
        <v>60.0</v>
      </c>
    </row>
    <row r="146" ht="15.75" customHeight="1">
      <c r="A146" s="18" t="s">
        <v>148</v>
      </c>
      <c r="B146" s="18" t="s">
        <v>84</v>
      </c>
      <c r="C146" s="18" t="s">
        <v>186</v>
      </c>
      <c r="D146" s="19">
        <v>70.0</v>
      </c>
    </row>
    <row r="147" ht="15.75" customHeight="1">
      <c r="A147" s="18" t="s">
        <v>148</v>
      </c>
      <c r="B147" s="18" t="s">
        <v>84</v>
      </c>
      <c r="C147" s="18" t="s">
        <v>158</v>
      </c>
      <c r="D147" s="19">
        <v>50.0</v>
      </c>
    </row>
    <row r="148" ht="15.75" customHeight="1">
      <c r="A148" s="18" t="s">
        <v>148</v>
      </c>
      <c r="B148" s="18" t="s">
        <v>84</v>
      </c>
      <c r="C148" s="18" t="s">
        <v>155</v>
      </c>
      <c r="D148" s="19">
        <v>60.0</v>
      </c>
    </row>
    <row r="149" ht="15.75" customHeight="1">
      <c r="A149" s="18" t="s">
        <v>148</v>
      </c>
      <c r="B149" s="18" t="s">
        <v>84</v>
      </c>
      <c r="C149" s="18" t="s">
        <v>187</v>
      </c>
      <c r="D149" s="19">
        <v>60.0</v>
      </c>
    </row>
    <row r="150" ht="15.75" customHeight="1">
      <c r="A150" s="18" t="s">
        <v>148</v>
      </c>
      <c r="B150" s="18" t="s">
        <v>84</v>
      </c>
      <c r="C150" s="18" t="s">
        <v>158</v>
      </c>
      <c r="D150" s="19">
        <v>90.0</v>
      </c>
    </row>
    <row r="151" ht="15.75" customHeight="1">
      <c r="A151" s="18" t="s">
        <v>135</v>
      </c>
      <c r="B151" s="18" t="s">
        <v>99</v>
      </c>
      <c r="C151" s="21" t="s">
        <v>188</v>
      </c>
      <c r="D151" s="19">
        <v>90.0</v>
      </c>
    </row>
    <row r="152" ht="15.75" customHeight="1">
      <c r="A152" s="18" t="s">
        <v>135</v>
      </c>
      <c r="B152" s="18" t="s">
        <v>99</v>
      </c>
      <c r="C152" s="18" t="s">
        <v>189</v>
      </c>
      <c r="D152" s="19">
        <v>50.0</v>
      </c>
    </row>
    <row r="153" ht="15.75" customHeight="1">
      <c r="A153" s="18" t="s">
        <v>135</v>
      </c>
      <c r="B153" s="18" t="s">
        <v>99</v>
      </c>
      <c r="C153" s="18" t="s">
        <v>158</v>
      </c>
      <c r="D153" s="19">
        <v>80.0</v>
      </c>
    </row>
    <row r="154" ht="15.75" customHeight="1">
      <c r="A154" s="18" t="s">
        <v>144</v>
      </c>
      <c r="B154" s="18" t="s">
        <v>84</v>
      </c>
      <c r="C154" s="18" t="s">
        <v>174</v>
      </c>
      <c r="D154" s="19">
        <v>60.0</v>
      </c>
    </row>
    <row r="155" ht="15.75" customHeight="1">
      <c r="A155" s="18" t="s">
        <v>144</v>
      </c>
      <c r="B155" s="18" t="s">
        <v>84</v>
      </c>
      <c r="C155" s="18" t="s">
        <v>158</v>
      </c>
      <c r="D155" s="19">
        <v>50.0</v>
      </c>
    </row>
    <row r="156" ht="15.75" customHeight="1">
      <c r="A156" s="18" t="s">
        <v>144</v>
      </c>
      <c r="B156" s="18" t="s">
        <v>84</v>
      </c>
      <c r="C156" s="18" t="s">
        <v>158</v>
      </c>
      <c r="D156" s="19">
        <v>80.0</v>
      </c>
    </row>
    <row r="157" ht="15.75" customHeight="1">
      <c r="A157" s="18" t="s">
        <v>144</v>
      </c>
      <c r="B157" s="18" t="s">
        <v>84</v>
      </c>
      <c r="C157" s="18" t="s">
        <v>158</v>
      </c>
      <c r="D157" s="19">
        <v>70.0</v>
      </c>
    </row>
    <row r="158" ht="15.75" customHeight="1">
      <c r="A158" s="18" t="s">
        <v>144</v>
      </c>
      <c r="B158" s="18" t="s">
        <v>84</v>
      </c>
      <c r="C158" s="18" t="s">
        <v>158</v>
      </c>
      <c r="D158" s="19">
        <v>70.0</v>
      </c>
    </row>
    <row r="159" ht="15.75" customHeight="1">
      <c r="A159" s="18" t="s">
        <v>97</v>
      </c>
      <c r="B159" s="18" t="s">
        <v>84</v>
      </c>
      <c r="C159" s="18" t="s">
        <v>159</v>
      </c>
      <c r="D159" s="19">
        <v>40.0</v>
      </c>
    </row>
    <row r="160" ht="15.75" customHeight="1">
      <c r="A160" s="18" t="s">
        <v>97</v>
      </c>
      <c r="B160" s="18" t="s">
        <v>84</v>
      </c>
      <c r="C160" s="18" t="s">
        <v>158</v>
      </c>
      <c r="D160" s="19">
        <v>100.0</v>
      </c>
    </row>
    <row r="161" ht="15.75" customHeight="1">
      <c r="A161" s="18" t="s">
        <v>97</v>
      </c>
      <c r="B161" s="18" t="s">
        <v>84</v>
      </c>
      <c r="C161" s="18" t="s">
        <v>158</v>
      </c>
      <c r="D161" s="19">
        <v>90.0</v>
      </c>
    </row>
    <row r="162" ht="15.75" customHeight="1">
      <c r="A162" s="18" t="s">
        <v>97</v>
      </c>
      <c r="B162" s="18" t="s">
        <v>84</v>
      </c>
      <c r="C162" s="18" t="s">
        <v>159</v>
      </c>
      <c r="D162" s="19">
        <v>80.0</v>
      </c>
    </row>
    <row r="163" ht="15.75" customHeight="1">
      <c r="A163" s="18" t="s">
        <v>97</v>
      </c>
      <c r="B163" s="18" t="s">
        <v>84</v>
      </c>
      <c r="C163" s="18" t="s">
        <v>159</v>
      </c>
      <c r="D163" s="19">
        <v>50.0</v>
      </c>
    </row>
    <row r="164" ht="15.75" customHeight="1">
      <c r="A164" s="22" t="s">
        <v>101</v>
      </c>
      <c r="B164" s="22" t="s">
        <v>102</v>
      </c>
      <c r="C164" s="9"/>
      <c r="D164" s="23">
        <v>70.0</v>
      </c>
    </row>
    <row r="165" ht="15.75" customHeight="1">
      <c r="A165" s="22" t="s">
        <v>101</v>
      </c>
      <c r="B165" s="22" t="s">
        <v>102</v>
      </c>
      <c r="C165" s="9"/>
      <c r="D165" s="23">
        <v>60.0</v>
      </c>
    </row>
    <row r="166" ht="15.75" customHeight="1">
      <c r="A166" s="22" t="s">
        <v>101</v>
      </c>
      <c r="B166" s="22" t="s">
        <v>102</v>
      </c>
      <c r="C166" s="9"/>
      <c r="D166" s="23">
        <v>50.0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1:$D$166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3" width="34.0"/>
    <col customWidth="1" min="4" max="4" width="13.0"/>
    <col customWidth="1" min="5" max="5" width="18.0"/>
    <col customWidth="1" min="6" max="6" width="26.0"/>
    <col customWidth="1" min="7" max="7" width="18.0"/>
    <col customWidth="1" min="8" max="26" width="8.71"/>
  </cols>
  <sheetData>
    <row r="1">
      <c r="A1" s="16" t="s">
        <v>152</v>
      </c>
      <c r="B1" s="16" t="s">
        <v>40</v>
      </c>
      <c r="C1" s="16" t="s">
        <v>153</v>
      </c>
      <c r="D1" s="16" t="s">
        <v>190</v>
      </c>
      <c r="E1" s="16" t="s">
        <v>191</v>
      </c>
      <c r="F1" s="16" t="s">
        <v>192</v>
      </c>
      <c r="G1" s="16" t="s">
        <v>193</v>
      </c>
    </row>
    <row r="2">
      <c r="A2" s="18" t="s">
        <v>113</v>
      </c>
      <c r="B2" s="18" t="s">
        <v>68</v>
      </c>
      <c r="C2" s="18" t="s">
        <v>155</v>
      </c>
      <c r="D2" s="19">
        <v>9.0</v>
      </c>
      <c r="E2" s="18" t="s">
        <v>194</v>
      </c>
      <c r="F2" s="18" t="s">
        <v>195</v>
      </c>
      <c r="G2" s="18" t="s">
        <v>196</v>
      </c>
    </row>
    <row r="3">
      <c r="A3" s="18" t="s">
        <v>113</v>
      </c>
      <c r="B3" s="18" t="s">
        <v>68</v>
      </c>
      <c r="C3" s="18" t="s">
        <v>159</v>
      </c>
      <c r="D3" s="19">
        <v>10.0</v>
      </c>
      <c r="E3" s="18" t="s">
        <v>197</v>
      </c>
      <c r="F3" s="21" t="s">
        <v>198</v>
      </c>
      <c r="G3" s="18" t="s">
        <v>199</v>
      </c>
    </row>
    <row r="4">
      <c r="A4" s="18" t="s">
        <v>113</v>
      </c>
      <c r="B4" s="18" t="s">
        <v>68</v>
      </c>
      <c r="C4" s="18" t="s">
        <v>158</v>
      </c>
      <c r="D4" s="19">
        <v>10.0</v>
      </c>
      <c r="E4" s="18" t="s">
        <v>197</v>
      </c>
      <c r="F4" s="18" t="s">
        <v>200</v>
      </c>
      <c r="G4" s="18" t="s">
        <v>196</v>
      </c>
    </row>
    <row r="5">
      <c r="A5" s="18" t="s">
        <v>113</v>
      </c>
      <c r="B5" s="18" t="s">
        <v>68</v>
      </c>
      <c r="C5" s="18" t="s">
        <v>180</v>
      </c>
      <c r="D5" s="19">
        <v>6.0</v>
      </c>
      <c r="E5" s="18" t="s">
        <v>197</v>
      </c>
      <c r="F5" s="18" t="s">
        <v>201</v>
      </c>
      <c r="G5" s="18" t="s">
        <v>199</v>
      </c>
    </row>
    <row r="6">
      <c r="A6" s="18" t="s">
        <v>113</v>
      </c>
      <c r="B6" s="18" t="s">
        <v>68</v>
      </c>
      <c r="C6" s="18" t="s">
        <v>156</v>
      </c>
      <c r="D6" s="19">
        <v>9.0</v>
      </c>
      <c r="E6" s="18" t="s">
        <v>197</v>
      </c>
      <c r="F6" s="18" t="s">
        <v>200</v>
      </c>
      <c r="G6" s="18" t="s">
        <v>199</v>
      </c>
    </row>
    <row r="7">
      <c r="A7" s="18" t="s">
        <v>124</v>
      </c>
      <c r="B7" s="18" t="s">
        <v>125</v>
      </c>
      <c r="C7" s="18" t="s">
        <v>156</v>
      </c>
      <c r="D7" s="19">
        <v>8.0</v>
      </c>
      <c r="E7" s="18" t="s">
        <v>197</v>
      </c>
      <c r="F7" s="21" t="s">
        <v>198</v>
      </c>
      <c r="G7" s="18" t="s">
        <v>199</v>
      </c>
    </row>
    <row r="8">
      <c r="A8" s="18" t="s">
        <v>124</v>
      </c>
      <c r="B8" s="18" t="s">
        <v>125</v>
      </c>
      <c r="C8" s="18" t="s">
        <v>155</v>
      </c>
      <c r="D8" s="19">
        <v>9.0</v>
      </c>
      <c r="E8" s="18" t="s">
        <v>194</v>
      </c>
      <c r="F8" s="18" t="s">
        <v>195</v>
      </c>
      <c r="G8" s="18" t="s">
        <v>199</v>
      </c>
    </row>
    <row r="9">
      <c r="A9" s="18" t="s">
        <v>124</v>
      </c>
      <c r="B9" s="18" t="s">
        <v>125</v>
      </c>
      <c r="C9" s="21" t="s">
        <v>160</v>
      </c>
      <c r="D9" s="19">
        <v>10.0</v>
      </c>
      <c r="E9" s="18" t="s">
        <v>202</v>
      </c>
      <c r="F9" s="18" t="s">
        <v>195</v>
      </c>
      <c r="G9" s="18" t="s">
        <v>196</v>
      </c>
    </row>
    <row r="10">
      <c r="A10" s="18" t="s">
        <v>124</v>
      </c>
      <c r="B10" s="18" t="s">
        <v>125</v>
      </c>
      <c r="C10" s="18" t="s">
        <v>159</v>
      </c>
      <c r="D10" s="19">
        <v>8.0</v>
      </c>
      <c r="E10" s="18" t="s">
        <v>194</v>
      </c>
      <c r="F10" s="18" t="s">
        <v>195</v>
      </c>
      <c r="G10" s="18" t="s">
        <v>196</v>
      </c>
    </row>
    <row r="11">
      <c r="A11" s="18" t="s">
        <v>124</v>
      </c>
      <c r="B11" s="18" t="s">
        <v>125</v>
      </c>
      <c r="C11" s="18" t="s">
        <v>159</v>
      </c>
      <c r="D11" s="19">
        <v>6.0</v>
      </c>
      <c r="E11" s="18" t="s">
        <v>194</v>
      </c>
      <c r="F11" s="18" t="s">
        <v>195</v>
      </c>
      <c r="G11" s="18" t="s">
        <v>196</v>
      </c>
    </row>
    <row r="12">
      <c r="A12" s="18" t="s">
        <v>141</v>
      </c>
      <c r="B12" s="18" t="s">
        <v>125</v>
      </c>
      <c r="C12" s="21" t="s">
        <v>160</v>
      </c>
      <c r="D12" s="19">
        <v>10.0</v>
      </c>
      <c r="E12" s="18" t="s">
        <v>197</v>
      </c>
      <c r="F12" s="18" t="s">
        <v>195</v>
      </c>
      <c r="G12" s="18" t="s">
        <v>203</v>
      </c>
    </row>
    <row r="13">
      <c r="A13" s="18" t="s">
        <v>141</v>
      </c>
      <c r="B13" s="18" t="s">
        <v>125</v>
      </c>
      <c r="C13" s="18" t="s">
        <v>155</v>
      </c>
      <c r="D13" s="19">
        <v>5.0</v>
      </c>
      <c r="E13" s="18" t="s">
        <v>194</v>
      </c>
      <c r="F13" s="18" t="s">
        <v>201</v>
      </c>
      <c r="G13" s="18" t="s">
        <v>196</v>
      </c>
    </row>
    <row r="14">
      <c r="A14" s="18" t="s">
        <v>141</v>
      </c>
      <c r="B14" s="18" t="s">
        <v>125</v>
      </c>
      <c r="C14" s="18" t="s">
        <v>155</v>
      </c>
      <c r="D14" s="19">
        <v>7.0</v>
      </c>
      <c r="E14" s="18" t="s">
        <v>194</v>
      </c>
      <c r="F14" s="18" t="s">
        <v>195</v>
      </c>
      <c r="G14" s="18" t="s">
        <v>196</v>
      </c>
    </row>
    <row r="15">
      <c r="A15" s="18" t="s">
        <v>141</v>
      </c>
      <c r="B15" s="18" t="s">
        <v>125</v>
      </c>
      <c r="C15" s="18" t="s">
        <v>180</v>
      </c>
      <c r="D15" s="19">
        <v>9.0</v>
      </c>
      <c r="E15" s="18" t="s">
        <v>194</v>
      </c>
      <c r="F15" s="18" t="s">
        <v>201</v>
      </c>
      <c r="G15" s="18" t="s">
        <v>196</v>
      </c>
    </row>
    <row r="16">
      <c r="A16" s="18" t="s">
        <v>141</v>
      </c>
      <c r="B16" s="18" t="s">
        <v>125</v>
      </c>
      <c r="C16" s="18" t="s">
        <v>180</v>
      </c>
      <c r="D16" s="19">
        <v>8.0</v>
      </c>
      <c r="E16" s="18" t="s">
        <v>194</v>
      </c>
      <c r="F16" s="18" t="s">
        <v>195</v>
      </c>
      <c r="G16" s="18" t="s">
        <v>196</v>
      </c>
    </row>
    <row r="17">
      <c r="A17" s="18" t="s">
        <v>128</v>
      </c>
      <c r="B17" s="18" t="s">
        <v>99</v>
      </c>
      <c r="C17" s="18" t="s">
        <v>156</v>
      </c>
      <c r="D17" s="19">
        <v>6.0</v>
      </c>
      <c r="E17" s="18" t="s">
        <v>202</v>
      </c>
      <c r="F17" s="18" t="s">
        <v>200</v>
      </c>
      <c r="G17" s="18" t="s">
        <v>199</v>
      </c>
    </row>
    <row r="18">
      <c r="A18" s="18" t="s">
        <v>128</v>
      </c>
      <c r="B18" s="18" t="s">
        <v>99</v>
      </c>
      <c r="C18" s="18" t="s">
        <v>155</v>
      </c>
      <c r="D18" s="19">
        <v>7.0</v>
      </c>
      <c r="E18" s="18" t="s">
        <v>194</v>
      </c>
      <c r="F18" s="18" t="s">
        <v>195</v>
      </c>
      <c r="G18" s="18" t="s">
        <v>196</v>
      </c>
    </row>
    <row r="19">
      <c r="A19" s="18" t="s">
        <v>128</v>
      </c>
      <c r="B19" s="18" t="s">
        <v>99</v>
      </c>
      <c r="C19" s="18" t="s">
        <v>158</v>
      </c>
      <c r="D19" s="19">
        <v>6.0</v>
      </c>
      <c r="E19" s="18" t="s">
        <v>202</v>
      </c>
      <c r="F19" s="18" t="s">
        <v>200</v>
      </c>
      <c r="G19" s="18" t="s">
        <v>196</v>
      </c>
    </row>
    <row r="20">
      <c r="A20" s="18" t="s">
        <v>151</v>
      </c>
      <c r="B20" s="18" t="s">
        <v>102</v>
      </c>
      <c r="C20" s="18" t="s">
        <v>204</v>
      </c>
      <c r="D20" s="19">
        <v>10.0</v>
      </c>
      <c r="E20" s="18" t="s">
        <v>194</v>
      </c>
      <c r="F20" s="18" t="s">
        <v>195</v>
      </c>
      <c r="G20" s="18" t="s">
        <v>196</v>
      </c>
    </row>
    <row r="21" ht="15.75" customHeight="1">
      <c r="A21" s="18" t="s">
        <v>147</v>
      </c>
      <c r="B21" s="18" t="s">
        <v>102</v>
      </c>
      <c r="C21" s="18" t="s">
        <v>155</v>
      </c>
      <c r="D21" s="19">
        <v>8.0</v>
      </c>
      <c r="E21" s="18" t="s">
        <v>197</v>
      </c>
      <c r="F21" s="18" t="s">
        <v>195</v>
      </c>
      <c r="G21" s="18" t="s">
        <v>199</v>
      </c>
    </row>
    <row r="22" ht="15.75" customHeight="1">
      <c r="A22" s="18" t="s">
        <v>147</v>
      </c>
      <c r="B22" s="18" t="s">
        <v>102</v>
      </c>
      <c r="C22" s="18" t="s">
        <v>204</v>
      </c>
      <c r="D22" s="19">
        <v>8.0</v>
      </c>
      <c r="E22" s="18" t="s">
        <v>202</v>
      </c>
      <c r="F22" s="18" t="s">
        <v>195</v>
      </c>
      <c r="G22" s="18" t="s">
        <v>196</v>
      </c>
    </row>
    <row r="23" ht="15.75" customHeight="1">
      <c r="A23" s="18" t="s">
        <v>132</v>
      </c>
      <c r="B23" s="18" t="s">
        <v>99</v>
      </c>
      <c r="C23" s="18" t="s">
        <v>158</v>
      </c>
      <c r="D23" s="19">
        <v>7.0</v>
      </c>
      <c r="E23" s="18" t="s">
        <v>202</v>
      </c>
      <c r="F23" s="21" t="s">
        <v>198</v>
      </c>
      <c r="G23" s="18" t="s">
        <v>196</v>
      </c>
    </row>
    <row r="24" ht="15.75" customHeight="1">
      <c r="A24" s="18" t="s">
        <v>128</v>
      </c>
      <c r="B24" s="18" t="s">
        <v>99</v>
      </c>
      <c r="C24" s="21" t="s">
        <v>160</v>
      </c>
      <c r="D24" s="19">
        <v>10.0</v>
      </c>
      <c r="E24" s="18" t="s">
        <v>202</v>
      </c>
      <c r="F24" s="18" t="s">
        <v>195</v>
      </c>
      <c r="G24" s="18" t="s">
        <v>205</v>
      </c>
    </row>
    <row r="25" ht="15.75" customHeight="1">
      <c r="A25" s="18" t="s">
        <v>136</v>
      </c>
      <c r="B25" s="18" t="s">
        <v>99</v>
      </c>
      <c r="C25" s="18" t="s">
        <v>159</v>
      </c>
      <c r="D25" s="19">
        <v>10.0</v>
      </c>
      <c r="E25" s="18" t="s">
        <v>194</v>
      </c>
      <c r="F25" s="18" t="s">
        <v>200</v>
      </c>
      <c r="G25" s="18" t="s">
        <v>196</v>
      </c>
    </row>
    <row r="26" ht="15.75" customHeight="1">
      <c r="A26" s="18" t="s">
        <v>131</v>
      </c>
      <c r="B26" s="18" t="s">
        <v>68</v>
      </c>
      <c r="C26" s="18" t="s">
        <v>204</v>
      </c>
      <c r="D26" s="19">
        <v>10.0</v>
      </c>
      <c r="E26" s="18" t="s">
        <v>197</v>
      </c>
      <c r="F26" s="18" t="s">
        <v>201</v>
      </c>
      <c r="G26" s="18" t="s">
        <v>199</v>
      </c>
    </row>
    <row r="27" ht="15.75" customHeight="1">
      <c r="A27" s="18" t="s">
        <v>131</v>
      </c>
      <c r="B27" s="18" t="s">
        <v>68</v>
      </c>
      <c r="C27" s="21" t="s">
        <v>160</v>
      </c>
      <c r="D27" s="19">
        <v>10.0</v>
      </c>
      <c r="E27" s="18" t="s">
        <v>197</v>
      </c>
      <c r="F27" s="18" t="s">
        <v>201</v>
      </c>
      <c r="G27" s="18" t="s">
        <v>205</v>
      </c>
    </row>
    <row r="28" ht="15.75" customHeight="1">
      <c r="A28" s="18" t="s">
        <v>131</v>
      </c>
      <c r="B28" s="18" t="s">
        <v>68</v>
      </c>
      <c r="C28" s="18" t="s">
        <v>155</v>
      </c>
      <c r="D28" s="19">
        <v>10.0</v>
      </c>
      <c r="E28" s="18" t="s">
        <v>197</v>
      </c>
      <c r="F28" s="21" t="s">
        <v>198</v>
      </c>
      <c r="G28" s="18" t="s">
        <v>196</v>
      </c>
    </row>
    <row r="29" ht="15.75" customHeight="1">
      <c r="A29" s="18" t="s">
        <v>131</v>
      </c>
      <c r="B29" s="18" t="s">
        <v>68</v>
      </c>
      <c r="C29" s="18" t="s">
        <v>156</v>
      </c>
      <c r="D29" s="19">
        <v>10.0</v>
      </c>
      <c r="E29" s="18" t="s">
        <v>197</v>
      </c>
      <c r="F29" s="18" t="s">
        <v>195</v>
      </c>
      <c r="G29" s="18" t="s">
        <v>199</v>
      </c>
    </row>
    <row r="30" ht="15.75" customHeight="1">
      <c r="A30" s="18" t="s">
        <v>131</v>
      </c>
      <c r="B30" s="18" t="s">
        <v>68</v>
      </c>
      <c r="C30" s="18" t="s">
        <v>159</v>
      </c>
      <c r="D30" s="19">
        <v>10.0</v>
      </c>
      <c r="E30" s="18" t="s">
        <v>197</v>
      </c>
      <c r="F30" s="21" t="s">
        <v>198</v>
      </c>
      <c r="G30" s="18" t="s">
        <v>199</v>
      </c>
    </row>
    <row r="31" ht="15.75" customHeight="1">
      <c r="A31" s="18" t="s">
        <v>145</v>
      </c>
      <c r="B31" s="18" t="s">
        <v>68</v>
      </c>
      <c r="C31" s="18" t="s">
        <v>156</v>
      </c>
      <c r="D31" s="19">
        <v>10.0</v>
      </c>
      <c r="E31" s="18" t="s">
        <v>197</v>
      </c>
      <c r="F31" s="18" t="s">
        <v>195</v>
      </c>
      <c r="G31" s="18" t="s">
        <v>203</v>
      </c>
    </row>
    <row r="32" ht="15.75" customHeight="1">
      <c r="A32" s="18" t="s">
        <v>145</v>
      </c>
      <c r="B32" s="18" t="s">
        <v>68</v>
      </c>
      <c r="C32" s="18" t="s">
        <v>159</v>
      </c>
      <c r="D32" s="19">
        <v>10.0</v>
      </c>
      <c r="E32" s="18" t="s">
        <v>197</v>
      </c>
      <c r="F32" s="18" t="s">
        <v>195</v>
      </c>
      <c r="G32" s="18" t="s">
        <v>199</v>
      </c>
    </row>
    <row r="33" ht="15.75" customHeight="1">
      <c r="A33" s="18" t="s">
        <v>145</v>
      </c>
      <c r="B33" s="18" t="s">
        <v>68</v>
      </c>
      <c r="C33" s="18" t="s">
        <v>155</v>
      </c>
      <c r="D33" s="19">
        <v>10.0</v>
      </c>
      <c r="E33" s="18" t="s">
        <v>197</v>
      </c>
      <c r="F33" s="18" t="s">
        <v>201</v>
      </c>
      <c r="G33" s="18" t="s">
        <v>199</v>
      </c>
    </row>
    <row r="34" ht="15.75" customHeight="1">
      <c r="A34" s="18" t="s">
        <v>145</v>
      </c>
      <c r="B34" s="18" t="s">
        <v>68</v>
      </c>
      <c r="C34" s="18" t="s">
        <v>159</v>
      </c>
      <c r="D34" s="19">
        <v>10.0</v>
      </c>
      <c r="E34" s="18" t="s">
        <v>197</v>
      </c>
      <c r="F34" s="18" t="s">
        <v>195</v>
      </c>
      <c r="G34" s="18" t="s">
        <v>196</v>
      </c>
    </row>
    <row r="35" ht="15.75" customHeight="1">
      <c r="A35" s="18" t="s">
        <v>145</v>
      </c>
      <c r="B35" s="18" t="s">
        <v>68</v>
      </c>
      <c r="C35" s="18" t="s">
        <v>204</v>
      </c>
      <c r="D35" s="19">
        <v>10.0</v>
      </c>
      <c r="E35" s="18" t="s">
        <v>197</v>
      </c>
      <c r="F35" s="21" t="s">
        <v>198</v>
      </c>
      <c r="G35" s="18" t="s">
        <v>203</v>
      </c>
    </row>
    <row r="36" ht="15.75" customHeight="1">
      <c r="A36" s="18" t="s">
        <v>146</v>
      </c>
      <c r="B36" s="18" t="s">
        <v>119</v>
      </c>
      <c r="C36" s="18" t="s">
        <v>158</v>
      </c>
      <c r="D36" s="19">
        <v>5.0</v>
      </c>
      <c r="E36" s="18" t="s">
        <v>194</v>
      </c>
      <c r="F36" s="18" t="s">
        <v>195</v>
      </c>
      <c r="G36" s="18" t="s">
        <v>196</v>
      </c>
    </row>
    <row r="37" ht="15.75" customHeight="1">
      <c r="A37" s="18" t="s">
        <v>146</v>
      </c>
      <c r="B37" s="18" t="s">
        <v>119</v>
      </c>
      <c r="C37" s="18" t="s">
        <v>155</v>
      </c>
      <c r="D37" s="19">
        <v>8.0</v>
      </c>
      <c r="E37" s="18" t="s">
        <v>194</v>
      </c>
      <c r="F37" s="18" t="s">
        <v>195</v>
      </c>
      <c r="G37" s="18" t="s">
        <v>196</v>
      </c>
    </row>
    <row r="38" ht="15.75" customHeight="1">
      <c r="A38" s="18" t="s">
        <v>146</v>
      </c>
      <c r="B38" s="18" t="s">
        <v>119</v>
      </c>
      <c r="C38" s="18" t="s">
        <v>155</v>
      </c>
      <c r="D38" s="19">
        <v>7.0</v>
      </c>
      <c r="E38" s="18" t="s">
        <v>194</v>
      </c>
      <c r="F38" s="18" t="s">
        <v>195</v>
      </c>
      <c r="G38" s="18" t="s">
        <v>196</v>
      </c>
    </row>
    <row r="39" ht="15.75" customHeight="1">
      <c r="A39" s="18" t="s">
        <v>146</v>
      </c>
      <c r="B39" s="18" t="s">
        <v>119</v>
      </c>
      <c r="C39" s="18" t="s">
        <v>155</v>
      </c>
      <c r="D39" s="19">
        <v>9.0</v>
      </c>
      <c r="E39" s="18" t="s">
        <v>194</v>
      </c>
      <c r="F39" s="18" t="s">
        <v>195</v>
      </c>
      <c r="G39" s="18" t="s">
        <v>196</v>
      </c>
    </row>
    <row r="40" ht="15.75" customHeight="1">
      <c r="A40" s="18" t="s">
        <v>146</v>
      </c>
      <c r="B40" s="18" t="s">
        <v>119</v>
      </c>
      <c r="C40" s="18" t="s">
        <v>156</v>
      </c>
      <c r="D40" s="19">
        <v>10.0</v>
      </c>
      <c r="E40" s="18" t="s">
        <v>202</v>
      </c>
      <c r="F40" s="18" t="s">
        <v>195</v>
      </c>
      <c r="G40" s="18" t="s">
        <v>196</v>
      </c>
    </row>
    <row r="41" ht="15.75" customHeight="1">
      <c r="A41" s="18" t="s">
        <v>101</v>
      </c>
      <c r="B41" s="18" t="s">
        <v>102</v>
      </c>
      <c r="C41" s="18" t="s">
        <v>156</v>
      </c>
      <c r="D41" s="19">
        <v>1.0</v>
      </c>
      <c r="E41" s="18" t="s">
        <v>194</v>
      </c>
      <c r="F41" s="18" t="s">
        <v>195</v>
      </c>
      <c r="G41" s="18" t="s">
        <v>199</v>
      </c>
    </row>
    <row r="42" ht="15.75" customHeight="1">
      <c r="A42" s="18" t="s">
        <v>134</v>
      </c>
      <c r="B42" s="18" t="s">
        <v>102</v>
      </c>
      <c r="C42" s="18" t="s">
        <v>158</v>
      </c>
      <c r="D42" s="19">
        <v>3.0</v>
      </c>
      <c r="E42" s="18" t="s">
        <v>194</v>
      </c>
      <c r="F42" s="18" t="s">
        <v>201</v>
      </c>
      <c r="G42" s="18" t="s">
        <v>203</v>
      </c>
    </row>
    <row r="43" ht="15.75" customHeight="1">
      <c r="A43" s="18" t="s">
        <v>147</v>
      </c>
      <c r="B43" s="18" t="s">
        <v>102</v>
      </c>
      <c r="C43" s="18" t="s">
        <v>158</v>
      </c>
      <c r="D43" s="19">
        <v>10.0</v>
      </c>
      <c r="E43" s="18" t="s">
        <v>194</v>
      </c>
      <c r="F43" s="21" t="s">
        <v>198</v>
      </c>
      <c r="G43" s="18" t="s">
        <v>199</v>
      </c>
    </row>
    <row r="44" ht="15.75" customHeight="1">
      <c r="A44" s="18" t="s">
        <v>147</v>
      </c>
      <c r="B44" s="18" t="s">
        <v>102</v>
      </c>
      <c r="C44" s="18" t="s">
        <v>158</v>
      </c>
      <c r="D44" s="19">
        <v>10.0</v>
      </c>
      <c r="E44" s="18" t="s">
        <v>194</v>
      </c>
      <c r="F44" s="18" t="s">
        <v>195</v>
      </c>
      <c r="G44" s="18" t="s">
        <v>196</v>
      </c>
    </row>
    <row r="45" ht="15.75" customHeight="1">
      <c r="A45" s="18" t="s">
        <v>147</v>
      </c>
      <c r="B45" s="18" t="s">
        <v>102</v>
      </c>
      <c r="C45" s="18" t="s">
        <v>159</v>
      </c>
      <c r="D45" s="19">
        <v>10.0</v>
      </c>
      <c r="E45" s="18" t="s">
        <v>194</v>
      </c>
      <c r="F45" s="18" t="s">
        <v>195</v>
      </c>
      <c r="G45" s="18" t="s">
        <v>203</v>
      </c>
    </row>
    <row r="46" ht="15.75" customHeight="1">
      <c r="A46" s="18" t="s">
        <v>151</v>
      </c>
      <c r="B46" s="18" t="s">
        <v>102</v>
      </c>
      <c r="C46" s="18" t="s">
        <v>158</v>
      </c>
      <c r="D46" s="19">
        <v>10.0</v>
      </c>
      <c r="E46" s="18" t="s">
        <v>202</v>
      </c>
      <c r="F46" s="18" t="s">
        <v>195</v>
      </c>
      <c r="G46" s="18" t="s">
        <v>196</v>
      </c>
    </row>
    <row r="47" ht="15.75" customHeight="1">
      <c r="A47" s="18" t="s">
        <v>136</v>
      </c>
      <c r="B47" s="18" t="s">
        <v>99</v>
      </c>
      <c r="C47" s="18" t="s">
        <v>158</v>
      </c>
      <c r="D47" s="19">
        <v>8.0</v>
      </c>
      <c r="E47" s="18" t="s">
        <v>202</v>
      </c>
      <c r="F47" s="18" t="s">
        <v>195</v>
      </c>
      <c r="G47" s="18" t="s">
        <v>196</v>
      </c>
    </row>
    <row r="48" ht="15.75" customHeight="1">
      <c r="A48" s="18" t="s">
        <v>136</v>
      </c>
      <c r="B48" s="18" t="s">
        <v>99</v>
      </c>
      <c r="C48" s="18" t="s">
        <v>155</v>
      </c>
      <c r="D48" s="19">
        <v>0.0</v>
      </c>
      <c r="E48" s="18" t="s">
        <v>194</v>
      </c>
      <c r="F48" s="18" t="s">
        <v>195</v>
      </c>
      <c r="G48" s="18" t="s">
        <v>196</v>
      </c>
    </row>
    <row r="49" ht="15.75" customHeight="1">
      <c r="A49" s="18" t="s">
        <v>136</v>
      </c>
      <c r="B49" s="18" t="s">
        <v>99</v>
      </c>
      <c r="C49" s="18" t="s">
        <v>204</v>
      </c>
      <c r="D49" s="19">
        <v>10.0</v>
      </c>
      <c r="E49" s="18" t="s">
        <v>194</v>
      </c>
      <c r="F49" s="18" t="s">
        <v>206</v>
      </c>
      <c r="G49" s="18" t="s">
        <v>196</v>
      </c>
    </row>
    <row r="50" ht="15.75" customHeight="1">
      <c r="A50" s="18" t="s">
        <v>136</v>
      </c>
      <c r="B50" s="18" t="s">
        <v>99</v>
      </c>
      <c r="C50" s="21" t="s">
        <v>160</v>
      </c>
      <c r="D50" s="19">
        <v>10.0</v>
      </c>
      <c r="E50" s="18" t="s">
        <v>194</v>
      </c>
      <c r="F50" s="18" t="s">
        <v>195</v>
      </c>
      <c r="G50" s="18" t="s">
        <v>196</v>
      </c>
    </row>
    <row r="51" ht="15.75" customHeight="1">
      <c r="A51" s="18" t="s">
        <v>138</v>
      </c>
      <c r="B51" s="18" t="s">
        <v>84</v>
      </c>
      <c r="C51" s="18" t="s">
        <v>204</v>
      </c>
      <c r="D51" s="19">
        <v>10.0</v>
      </c>
      <c r="E51" s="18" t="s">
        <v>197</v>
      </c>
      <c r="F51" s="18" t="s">
        <v>195</v>
      </c>
      <c r="G51" s="18" t="s">
        <v>203</v>
      </c>
    </row>
    <row r="52" ht="15.75" customHeight="1">
      <c r="A52" s="18" t="s">
        <v>138</v>
      </c>
      <c r="B52" s="18" t="s">
        <v>84</v>
      </c>
      <c r="C52" s="18" t="s">
        <v>204</v>
      </c>
      <c r="D52" s="19">
        <v>6.0</v>
      </c>
      <c r="E52" s="18" t="s">
        <v>202</v>
      </c>
      <c r="F52" s="18" t="s">
        <v>200</v>
      </c>
      <c r="G52" s="18" t="s">
        <v>196</v>
      </c>
    </row>
    <row r="53" ht="15.75" customHeight="1">
      <c r="A53" s="18" t="s">
        <v>138</v>
      </c>
      <c r="B53" s="18" t="s">
        <v>84</v>
      </c>
      <c r="C53" s="18" t="s">
        <v>204</v>
      </c>
      <c r="D53" s="19">
        <v>10.0</v>
      </c>
      <c r="E53" s="18" t="s">
        <v>202</v>
      </c>
      <c r="F53" s="18" t="s">
        <v>201</v>
      </c>
      <c r="G53" s="18" t="s">
        <v>196</v>
      </c>
    </row>
    <row r="54" ht="15.75" customHeight="1">
      <c r="A54" s="18" t="s">
        <v>138</v>
      </c>
      <c r="B54" s="18" t="s">
        <v>84</v>
      </c>
      <c r="C54" s="18" t="s">
        <v>159</v>
      </c>
      <c r="D54" s="19">
        <v>10.0</v>
      </c>
      <c r="E54" s="18" t="s">
        <v>202</v>
      </c>
      <c r="F54" s="21" t="s">
        <v>198</v>
      </c>
      <c r="G54" s="18" t="s">
        <v>196</v>
      </c>
    </row>
    <row r="55" ht="15.75" customHeight="1">
      <c r="A55" s="18" t="s">
        <v>138</v>
      </c>
      <c r="B55" s="18" t="s">
        <v>84</v>
      </c>
      <c r="C55" s="18" t="s">
        <v>204</v>
      </c>
      <c r="D55" s="19">
        <v>4.0</v>
      </c>
      <c r="E55" s="18" t="s">
        <v>202</v>
      </c>
      <c r="F55" s="18" t="s">
        <v>201</v>
      </c>
      <c r="G55" s="18" t="s">
        <v>203</v>
      </c>
    </row>
    <row r="56" ht="15.75" customHeight="1">
      <c r="A56" s="18" t="s">
        <v>67</v>
      </c>
      <c r="B56" s="18" t="s">
        <v>68</v>
      </c>
      <c r="C56" s="18" t="s">
        <v>156</v>
      </c>
      <c r="D56" s="19">
        <v>10.0</v>
      </c>
      <c r="E56" s="18" t="s">
        <v>197</v>
      </c>
      <c r="F56" s="18" t="s">
        <v>200</v>
      </c>
      <c r="G56" s="18" t="s">
        <v>199</v>
      </c>
    </row>
    <row r="57" ht="15.75" customHeight="1">
      <c r="A57" s="18" t="s">
        <v>67</v>
      </c>
      <c r="B57" s="18" t="s">
        <v>68</v>
      </c>
      <c r="C57" s="18" t="s">
        <v>155</v>
      </c>
      <c r="D57" s="19">
        <v>10.0</v>
      </c>
      <c r="E57" s="18" t="s">
        <v>197</v>
      </c>
      <c r="F57" s="18" t="s">
        <v>200</v>
      </c>
      <c r="G57" s="18" t="s">
        <v>199</v>
      </c>
    </row>
    <row r="58" ht="15.75" customHeight="1">
      <c r="A58" s="18" t="s">
        <v>67</v>
      </c>
      <c r="B58" s="18" t="s">
        <v>68</v>
      </c>
      <c r="C58" s="18" t="s">
        <v>159</v>
      </c>
      <c r="D58" s="19">
        <v>10.0</v>
      </c>
      <c r="E58" s="18" t="s">
        <v>197</v>
      </c>
      <c r="F58" s="18" t="s">
        <v>195</v>
      </c>
      <c r="G58" s="18" t="s">
        <v>196</v>
      </c>
    </row>
    <row r="59" ht="15.75" customHeight="1">
      <c r="A59" s="18" t="s">
        <v>67</v>
      </c>
      <c r="B59" s="18" t="s">
        <v>68</v>
      </c>
      <c r="C59" s="18" t="s">
        <v>204</v>
      </c>
      <c r="D59" s="19">
        <v>10.0</v>
      </c>
      <c r="E59" s="18" t="s">
        <v>197</v>
      </c>
      <c r="F59" s="18" t="s">
        <v>195</v>
      </c>
      <c r="G59" s="18" t="s">
        <v>203</v>
      </c>
    </row>
    <row r="60" ht="15.75" customHeight="1">
      <c r="A60" s="18" t="s">
        <v>67</v>
      </c>
      <c r="B60" s="18" t="s">
        <v>68</v>
      </c>
      <c r="C60" s="18" t="s">
        <v>155</v>
      </c>
      <c r="D60" s="19">
        <v>10.0</v>
      </c>
      <c r="E60" s="18" t="s">
        <v>197</v>
      </c>
      <c r="F60" s="18" t="s">
        <v>201</v>
      </c>
      <c r="G60" s="18" t="s">
        <v>199</v>
      </c>
    </row>
    <row r="61" ht="15.75" customHeight="1">
      <c r="A61" s="18" t="s">
        <v>137</v>
      </c>
      <c r="B61" s="18" t="s">
        <v>84</v>
      </c>
      <c r="C61" s="18" t="s">
        <v>204</v>
      </c>
      <c r="D61" s="19">
        <v>10.0</v>
      </c>
      <c r="E61" s="18" t="s">
        <v>202</v>
      </c>
      <c r="F61" s="21" t="s">
        <v>198</v>
      </c>
      <c r="G61" s="18" t="s">
        <v>196</v>
      </c>
    </row>
    <row r="62" ht="15.75" customHeight="1">
      <c r="A62" s="18" t="s">
        <v>137</v>
      </c>
      <c r="B62" s="18" t="s">
        <v>84</v>
      </c>
      <c r="C62" s="18" t="s">
        <v>155</v>
      </c>
      <c r="D62" s="19">
        <v>10.0</v>
      </c>
      <c r="E62" s="18" t="s">
        <v>194</v>
      </c>
      <c r="F62" s="21" t="s">
        <v>198</v>
      </c>
      <c r="G62" s="18" t="s">
        <v>199</v>
      </c>
    </row>
    <row r="63" ht="15.75" customHeight="1">
      <c r="A63" s="18" t="s">
        <v>137</v>
      </c>
      <c r="B63" s="18" t="s">
        <v>84</v>
      </c>
      <c r="C63" s="18" t="s">
        <v>204</v>
      </c>
      <c r="D63" s="19">
        <v>10.0</v>
      </c>
      <c r="E63" s="18" t="s">
        <v>197</v>
      </c>
      <c r="F63" s="18" t="s">
        <v>200</v>
      </c>
      <c r="G63" s="18" t="s">
        <v>199</v>
      </c>
    </row>
    <row r="64" ht="15.75" customHeight="1">
      <c r="A64" s="18" t="s">
        <v>137</v>
      </c>
      <c r="B64" s="18" t="s">
        <v>84</v>
      </c>
      <c r="C64" s="18" t="s">
        <v>204</v>
      </c>
      <c r="D64" s="19">
        <v>10.0</v>
      </c>
      <c r="E64" s="18" t="s">
        <v>197</v>
      </c>
      <c r="F64" s="18" t="s">
        <v>206</v>
      </c>
      <c r="G64" s="18" t="s">
        <v>196</v>
      </c>
    </row>
    <row r="65" ht="15.75" customHeight="1">
      <c r="A65" s="18" t="s">
        <v>122</v>
      </c>
      <c r="B65" s="18" t="s">
        <v>84</v>
      </c>
      <c r="C65" s="18" t="s">
        <v>158</v>
      </c>
      <c r="D65" s="19">
        <v>10.0</v>
      </c>
      <c r="E65" s="18" t="s">
        <v>197</v>
      </c>
      <c r="F65" s="18" t="s">
        <v>195</v>
      </c>
      <c r="G65" s="18" t="s">
        <v>196</v>
      </c>
    </row>
    <row r="66" ht="15.75" customHeight="1">
      <c r="A66" s="18" t="s">
        <v>93</v>
      </c>
      <c r="B66" s="18" t="s">
        <v>84</v>
      </c>
      <c r="C66" s="18" t="s">
        <v>158</v>
      </c>
      <c r="D66" s="19">
        <v>0.0</v>
      </c>
      <c r="E66" s="18" t="s">
        <v>194</v>
      </c>
      <c r="F66" s="18" t="s">
        <v>195</v>
      </c>
      <c r="G66" s="18" t="s">
        <v>196</v>
      </c>
    </row>
    <row r="67" ht="15.75" customHeight="1">
      <c r="A67" s="18" t="s">
        <v>137</v>
      </c>
      <c r="B67" s="18" t="s">
        <v>84</v>
      </c>
      <c r="C67" s="18" t="s">
        <v>158</v>
      </c>
      <c r="D67" s="19">
        <v>10.0</v>
      </c>
      <c r="E67" s="18" t="s">
        <v>202</v>
      </c>
      <c r="F67" s="18" t="s">
        <v>201</v>
      </c>
      <c r="G67" s="18" t="s">
        <v>196</v>
      </c>
    </row>
    <row r="68" ht="15.75" customHeight="1">
      <c r="A68" s="18" t="s">
        <v>83</v>
      </c>
      <c r="B68" s="18" t="s">
        <v>84</v>
      </c>
      <c r="C68" s="18" t="s">
        <v>156</v>
      </c>
      <c r="D68" s="19">
        <v>10.0</v>
      </c>
      <c r="E68" s="18" t="s">
        <v>194</v>
      </c>
      <c r="F68" s="21" t="s">
        <v>198</v>
      </c>
      <c r="G68" s="18" t="s">
        <v>199</v>
      </c>
    </row>
    <row r="69" ht="15.75" customHeight="1">
      <c r="A69" s="18" t="s">
        <v>83</v>
      </c>
      <c r="B69" s="18" t="s">
        <v>84</v>
      </c>
      <c r="C69" s="18" t="s">
        <v>158</v>
      </c>
      <c r="D69" s="19">
        <v>10.0</v>
      </c>
      <c r="E69" s="18" t="s">
        <v>194</v>
      </c>
      <c r="F69" s="18" t="s">
        <v>195</v>
      </c>
      <c r="G69" s="18" t="s">
        <v>196</v>
      </c>
    </row>
    <row r="70" ht="15.75" customHeight="1">
      <c r="A70" s="18" t="s">
        <v>95</v>
      </c>
      <c r="B70" s="18" t="s">
        <v>84</v>
      </c>
      <c r="C70" s="18" t="s">
        <v>158</v>
      </c>
      <c r="D70" s="19">
        <v>9.0</v>
      </c>
      <c r="E70" s="18" t="s">
        <v>194</v>
      </c>
      <c r="F70" s="18" t="s">
        <v>201</v>
      </c>
      <c r="G70" s="18" t="s">
        <v>196</v>
      </c>
    </row>
    <row r="71" ht="15.75" customHeight="1">
      <c r="A71" s="18" t="s">
        <v>95</v>
      </c>
      <c r="B71" s="18" t="s">
        <v>84</v>
      </c>
      <c r="C71" s="18" t="s">
        <v>158</v>
      </c>
      <c r="D71" s="19">
        <v>10.0</v>
      </c>
      <c r="E71" s="18" t="s">
        <v>194</v>
      </c>
      <c r="F71" s="18" t="s">
        <v>201</v>
      </c>
      <c r="G71" s="18" t="s">
        <v>196</v>
      </c>
    </row>
    <row r="72" ht="15.75" customHeight="1">
      <c r="A72" s="18" t="s">
        <v>95</v>
      </c>
      <c r="B72" s="18" t="s">
        <v>84</v>
      </c>
      <c r="C72" s="18" t="s">
        <v>204</v>
      </c>
      <c r="D72" s="19">
        <v>10.0</v>
      </c>
      <c r="E72" s="18" t="s">
        <v>197</v>
      </c>
      <c r="F72" s="18" t="s">
        <v>200</v>
      </c>
      <c r="G72" s="18" t="s">
        <v>199</v>
      </c>
    </row>
    <row r="73" ht="15.75" customHeight="1">
      <c r="A73" s="18" t="s">
        <v>83</v>
      </c>
      <c r="B73" s="18" t="s">
        <v>84</v>
      </c>
      <c r="C73" s="18" t="s">
        <v>172</v>
      </c>
      <c r="D73" s="19">
        <v>9.0</v>
      </c>
      <c r="E73" s="18" t="s">
        <v>202</v>
      </c>
      <c r="F73" s="18" t="s">
        <v>200</v>
      </c>
      <c r="G73" s="18" t="s">
        <v>199</v>
      </c>
    </row>
    <row r="74" ht="15.75" customHeight="1">
      <c r="A74" s="18" t="s">
        <v>83</v>
      </c>
      <c r="B74" s="18" t="s">
        <v>84</v>
      </c>
      <c r="C74" s="18" t="s">
        <v>204</v>
      </c>
      <c r="D74" s="19">
        <v>10.0</v>
      </c>
      <c r="E74" s="18" t="s">
        <v>202</v>
      </c>
      <c r="F74" s="21" t="s">
        <v>198</v>
      </c>
      <c r="G74" s="18" t="s">
        <v>196</v>
      </c>
    </row>
    <row r="75" ht="15.75" customHeight="1">
      <c r="A75" s="18" t="s">
        <v>83</v>
      </c>
      <c r="B75" s="18" t="s">
        <v>84</v>
      </c>
      <c r="C75" s="18" t="s">
        <v>156</v>
      </c>
      <c r="D75" s="19">
        <v>10.0</v>
      </c>
      <c r="E75" s="18" t="s">
        <v>197</v>
      </c>
      <c r="F75" s="18" t="s">
        <v>195</v>
      </c>
      <c r="G75" s="18" t="s">
        <v>196</v>
      </c>
    </row>
    <row r="76" ht="15.75" customHeight="1">
      <c r="A76" s="18" t="s">
        <v>95</v>
      </c>
      <c r="B76" s="18" t="s">
        <v>84</v>
      </c>
      <c r="C76" s="18" t="s">
        <v>155</v>
      </c>
      <c r="D76" s="19">
        <v>10.0</v>
      </c>
      <c r="E76" s="18" t="s">
        <v>202</v>
      </c>
      <c r="F76" s="18" t="s">
        <v>195</v>
      </c>
      <c r="G76" s="18" t="s">
        <v>196</v>
      </c>
    </row>
    <row r="77" ht="15.75" customHeight="1">
      <c r="A77" s="18" t="s">
        <v>95</v>
      </c>
      <c r="B77" s="18" t="s">
        <v>84</v>
      </c>
      <c r="C77" s="18" t="s">
        <v>158</v>
      </c>
      <c r="D77" s="19">
        <v>10.0</v>
      </c>
      <c r="E77" s="18" t="s">
        <v>194</v>
      </c>
      <c r="F77" s="18" t="s">
        <v>195</v>
      </c>
      <c r="G77" s="18" t="s">
        <v>196</v>
      </c>
    </row>
    <row r="78" ht="15.75" customHeight="1">
      <c r="A78" s="18" t="s">
        <v>110</v>
      </c>
      <c r="B78" s="18" t="s">
        <v>111</v>
      </c>
      <c r="C78" s="18" t="s">
        <v>158</v>
      </c>
      <c r="D78" s="19">
        <v>10.0</v>
      </c>
      <c r="E78" s="18" t="s">
        <v>197</v>
      </c>
      <c r="F78" s="21" t="s">
        <v>198</v>
      </c>
      <c r="G78" s="18" t="s">
        <v>199</v>
      </c>
    </row>
    <row r="79" ht="15.75" customHeight="1">
      <c r="A79" s="18" t="s">
        <v>110</v>
      </c>
      <c r="B79" s="18" t="s">
        <v>111</v>
      </c>
      <c r="C79" s="18" t="s">
        <v>156</v>
      </c>
      <c r="D79" s="19">
        <v>10.0</v>
      </c>
      <c r="E79" s="18" t="s">
        <v>197</v>
      </c>
      <c r="F79" s="18" t="s">
        <v>201</v>
      </c>
      <c r="G79" s="18" t="s">
        <v>199</v>
      </c>
    </row>
    <row r="80" ht="15.75" customHeight="1">
      <c r="A80" s="18" t="s">
        <v>110</v>
      </c>
      <c r="B80" s="18" t="s">
        <v>111</v>
      </c>
      <c r="C80" s="18" t="s">
        <v>204</v>
      </c>
      <c r="D80" s="19">
        <v>10.0</v>
      </c>
      <c r="E80" s="18" t="s">
        <v>197</v>
      </c>
      <c r="F80" s="18" t="s">
        <v>195</v>
      </c>
      <c r="G80" s="18" t="s">
        <v>205</v>
      </c>
    </row>
    <row r="81" ht="15.75" customHeight="1">
      <c r="A81" s="18" t="s">
        <v>110</v>
      </c>
      <c r="B81" s="18" t="s">
        <v>111</v>
      </c>
      <c r="C81" s="18" t="s">
        <v>155</v>
      </c>
      <c r="D81" s="19">
        <v>10.0</v>
      </c>
      <c r="E81" s="18" t="s">
        <v>197</v>
      </c>
      <c r="F81" s="18" t="s">
        <v>195</v>
      </c>
      <c r="G81" s="18" t="s">
        <v>196</v>
      </c>
    </row>
    <row r="82" ht="15.75" customHeight="1">
      <c r="A82" s="18" t="s">
        <v>110</v>
      </c>
      <c r="B82" s="18" t="s">
        <v>111</v>
      </c>
      <c r="C82" s="18" t="s">
        <v>159</v>
      </c>
      <c r="D82" s="19">
        <v>10.0</v>
      </c>
      <c r="E82" s="18" t="s">
        <v>202</v>
      </c>
      <c r="F82" s="21" t="s">
        <v>198</v>
      </c>
      <c r="G82" s="18" t="s">
        <v>196</v>
      </c>
    </row>
    <row r="83" ht="15.75" customHeight="1">
      <c r="A83" s="18" t="s">
        <v>150</v>
      </c>
      <c r="B83" s="18" t="s">
        <v>111</v>
      </c>
      <c r="C83" s="18" t="s">
        <v>158</v>
      </c>
      <c r="D83" s="19">
        <v>10.0</v>
      </c>
      <c r="E83" s="18" t="s">
        <v>197</v>
      </c>
      <c r="F83" s="18" t="s">
        <v>195</v>
      </c>
      <c r="G83" s="18" t="s">
        <v>199</v>
      </c>
    </row>
    <row r="84" ht="15.75" customHeight="1">
      <c r="A84" s="18" t="s">
        <v>150</v>
      </c>
      <c r="B84" s="18" t="s">
        <v>111</v>
      </c>
      <c r="C84" s="21" t="s">
        <v>160</v>
      </c>
      <c r="D84" s="19">
        <v>10.0</v>
      </c>
      <c r="E84" s="18" t="s">
        <v>197</v>
      </c>
      <c r="F84" s="18" t="s">
        <v>195</v>
      </c>
      <c r="G84" s="18" t="s">
        <v>203</v>
      </c>
    </row>
    <row r="85" ht="15.75" customHeight="1">
      <c r="A85" s="18" t="s">
        <v>150</v>
      </c>
      <c r="B85" s="18" t="s">
        <v>111</v>
      </c>
      <c r="C85" s="18" t="s">
        <v>159</v>
      </c>
      <c r="D85" s="19">
        <v>10.0</v>
      </c>
      <c r="E85" s="18" t="s">
        <v>197</v>
      </c>
      <c r="F85" s="18" t="s">
        <v>195</v>
      </c>
      <c r="G85" s="18" t="s">
        <v>196</v>
      </c>
    </row>
    <row r="86" ht="15.75" customHeight="1">
      <c r="A86" s="18" t="s">
        <v>150</v>
      </c>
      <c r="B86" s="18" t="s">
        <v>111</v>
      </c>
      <c r="C86" s="18" t="s">
        <v>156</v>
      </c>
      <c r="D86" s="19">
        <v>10.0</v>
      </c>
      <c r="E86" s="18" t="s">
        <v>197</v>
      </c>
      <c r="F86" s="21" t="s">
        <v>198</v>
      </c>
      <c r="G86" s="18" t="s">
        <v>205</v>
      </c>
    </row>
    <row r="87" ht="15.75" customHeight="1">
      <c r="A87" s="18" t="s">
        <v>150</v>
      </c>
      <c r="B87" s="18" t="s">
        <v>111</v>
      </c>
      <c r="C87" s="18" t="s">
        <v>156</v>
      </c>
      <c r="D87" s="19">
        <v>10.0</v>
      </c>
      <c r="E87" s="18" t="s">
        <v>197</v>
      </c>
      <c r="F87" s="18" t="s">
        <v>200</v>
      </c>
      <c r="G87" s="18" t="s">
        <v>196</v>
      </c>
    </row>
    <row r="88" ht="15.75" customHeight="1">
      <c r="A88" s="18" t="s">
        <v>150</v>
      </c>
      <c r="B88" s="18" t="s">
        <v>111</v>
      </c>
      <c r="C88" s="21" t="s">
        <v>160</v>
      </c>
      <c r="D88" s="19">
        <v>10.0</v>
      </c>
      <c r="E88" s="18" t="s">
        <v>197</v>
      </c>
      <c r="F88" s="21" t="s">
        <v>198</v>
      </c>
      <c r="G88" s="18" t="s">
        <v>199</v>
      </c>
    </row>
    <row r="89" ht="15.75" customHeight="1">
      <c r="A89" s="18" t="s">
        <v>132</v>
      </c>
      <c r="B89" s="18" t="s">
        <v>111</v>
      </c>
      <c r="C89" s="21" t="s">
        <v>160</v>
      </c>
      <c r="D89" s="19">
        <v>10.0</v>
      </c>
      <c r="E89" s="18" t="s">
        <v>197</v>
      </c>
      <c r="F89" s="18" t="s">
        <v>195</v>
      </c>
      <c r="G89" s="18" t="s">
        <v>199</v>
      </c>
    </row>
    <row r="90" ht="15.75" customHeight="1">
      <c r="A90" s="18" t="s">
        <v>132</v>
      </c>
      <c r="B90" s="18" t="s">
        <v>111</v>
      </c>
      <c r="C90" s="18" t="s">
        <v>155</v>
      </c>
      <c r="D90" s="19">
        <v>10.0</v>
      </c>
      <c r="E90" s="18" t="s">
        <v>197</v>
      </c>
      <c r="F90" s="18" t="s">
        <v>195</v>
      </c>
      <c r="G90" s="18" t="s">
        <v>203</v>
      </c>
    </row>
    <row r="91" ht="15.75" customHeight="1">
      <c r="A91" s="18" t="s">
        <v>132</v>
      </c>
      <c r="B91" s="18" t="s">
        <v>111</v>
      </c>
      <c r="C91" s="18" t="s">
        <v>159</v>
      </c>
      <c r="D91" s="19">
        <v>10.0</v>
      </c>
      <c r="E91" s="18" t="s">
        <v>197</v>
      </c>
      <c r="F91" s="18" t="s">
        <v>195</v>
      </c>
      <c r="G91" s="18" t="s">
        <v>203</v>
      </c>
    </row>
    <row r="92" ht="15.75" customHeight="1">
      <c r="A92" s="18" t="s">
        <v>132</v>
      </c>
      <c r="B92" s="18" t="s">
        <v>111</v>
      </c>
      <c r="C92" s="18" t="s">
        <v>159</v>
      </c>
      <c r="D92" s="19">
        <v>10.0</v>
      </c>
      <c r="E92" s="18" t="s">
        <v>197</v>
      </c>
      <c r="F92" s="18" t="s">
        <v>195</v>
      </c>
      <c r="G92" s="18" t="s">
        <v>199</v>
      </c>
    </row>
    <row r="93" ht="15.75" customHeight="1">
      <c r="A93" s="18" t="s">
        <v>132</v>
      </c>
      <c r="B93" s="18" t="s">
        <v>111</v>
      </c>
      <c r="C93" s="18" t="s">
        <v>156</v>
      </c>
      <c r="D93" s="19">
        <v>10.0</v>
      </c>
      <c r="E93" s="18" t="s">
        <v>197</v>
      </c>
      <c r="F93" s="18" t="s">
        <v>201</v>
      </c>
      <c r="G93" s="18" t="s">
        <v>199</v>
      </c>
    </row>
    <row r="94" ht="15.75" customHeight="1">
      <c r="A94" s="18" t="s">
        <v>132</v>
      </c>
      <c r="B94" s="18" t="s">
        <v>111</v>
      </c>
      <c r="C94" s="18" t="s">
        <v>158</v>
      </c>
      <c r="D94" s="19">
        <v>10.0</v>
      </c>
      <c r="E94" s="18" t="s">
        <v>197</v>
      </c>
      <c r="F94" s="18" t="s">
        <v>195</v>
      </c>
      <c r="G94" s="18" t="s">
        <v>203</v>
      </c>
    </row>
    <row r="95" ht="15.75" customHeight="1">
      <c r="A95" s="18" t="s">
        <v>149</v>
      </c>
      <c r="B95" s="18" t="s">
        <v>99</v>
      </c>
      <c r="C95" s="18" t="s">
        <v>204</v>
      </c>
      <c r="D95" s="19">
        <v>7.0</v>
      </c>
      <c r="E95" s="18" t="s">
        <v>197</v>
      </c>
      <c r="F95" s="18" t="s">
        <v>195</v>
      </c>
      <c r="G95" s="18" t="s">
        <v>196</v>
      </c>
    </row>
    <row r="96" ht="15.75" customHeight="1">
      <c r="A96" s="18" t="s">
        <v>140</v>
      </c>
      <c r="B96" s="18" t="s">
        <v>84</v>
      </c>
      <c r="C96" s="18" t="s">
        <v>204</v>
      </c>
      <c r="D96" s="19">
        <v>8.0</v>
      </c>
      <c r="E96" s="18" t="s">
        <v>197</v>
      </c>
      <c r="F96" s="18" t="s">
        <v>195</v>
      </c>
      <c r="G96" s="18" t="s">
        <v>196</v>
      </c>
    </row>
    <row r="97" ht="15.75" customHeight="1">
      <c r="A97" s="18" t="s">
        <v>106</v>
      </c>
      <c r="B97" s="18" t="s">
        <v>84</v>
      </c>
      <c r="C97" s="18" t="s">
        <v>158</v>
      </c>
      <c r="D97" s="19">
        <v>10.0</v>
      </c>
      <c r="E97" s="18" t="s">
        <v>197</v>
      </c>
      <c r="F97" s="18" t="s">
        <v>195</v>
      </c>
      <c r="G97" s="18" t="s">
        <v>196</v>
      </c>
    </row>
    <row r="98" ht="15.75" customHeight="1">
      <c r="A98" s="18" t="s">
        <v>107</v>
      </c>
      <c r="B98" s="18" t="s">
        <v>84</v>
      </c>
      <c r="C98" s="18" t="s">
        <v>158</v>
      </c>
      <c r="D98" s="19">
        <v>10.0</v>
      </c>
      <c r="E98" s="18" t="s">
        <v>202</v>
      </c>
      <c r="F98" s="18" t="s">
        <v>195</v>
      </c>
      <c r="G98" s="18" t="s">
        <v>196</v>
      </c>
    </row>
    <row r="99" ht="15.75" customHeight="1">
      <c r="A99" s="18" t="s">
        <v>104</v>
      </c>
      <c r="B99" s="18" t="s">
        <v>99</v>
      </c>
      <c r="C99" s="18" t="s">
        <v>158</v>
      </c>
      <c r="D99" s="19">
        <v>2.0</v>
      </c>
      <c r="E99" s="18" t="s">
        <v>194</v>
      </c>
      <c r="F99" s="18" t="s">
        <v>195</v>
      </c>
      <c r="G99" s="18" t="s">
        <v>196</v>
      </c>
    </row>
    <row r="100" ht="15.75" customHeight="1">
      <c r="A100" s="18" t="s">
        <v>98</v>
      </c>
      <c r="B100" s="18" t="s">
        <v>99</v>
      </c>
      <c r="C100" s="21" t="s">
        <v>160</v>
      </c>
      <c r="D100" s="19">
        <v>2.0</v>
      </c>
      <c r="E100" s="18" t="s">
        <v>194</v>
      </c>
      <c r="F100" s="18" t="s">
        <v>195</v>
      </c>
      <c r="G100" s="18" t="s">
        <v>196</v>
      </c>
    </row>
    <row r="101" ht="15.75" customHeight="1">
      <c r="A101" s="18" t="s">
        <v>89</v>
      </c>
      <c r="B101" s="18" t="s">
        <v>90</v>
      </c>
      <c r="C101" s="18" t="s">
        <v>163</v>
      </c>
      <c r="D101" s="19">
        <v>10.0</v>
      </c>
      <c r="E101" s="18" t="s">
        <v>202</v>
      </c>
      <c r="F101" s="21" t="s">
        <v>198</v>
      </c>
      <c r="G101" s="18" t="s">
        <v>196</v>
      </c>
    </row>
    <row r="102" ht="15.75" customHeight="1">
      <c r="A102" s="18" t="s">
        <v>89</v>
      </c>
      <c r="B102" s="18" t="s">
        <v>90</v>
      </c>
      <c r="C102" s="18" t="s">
        <v>204</v>
      </c>
      <c r="D102" s="19">
        <v>10.0</v>
      </c>
      <c r="E102" s="18" t="s">
        <v>202</v>
      </c>
      <c r="F102" s="18" t="s">
        <v>201</v>
      </c>
      <c r="G102" s="18" t="s">
        <v>196</v>
      </c>
    </row>
    <row r="103" ht="15.75" customHeight="1">
      <c r="A103" s="18" t="s">
        <v>89</v>
      </c>
      <c r="B103" s="18" t="s">
        <v>90</v>
      </c>
      <c r="C103" s="18" t="s">
        <v>159</v>
      </c>
      <c r="D103" s="19">
        <v>10.0</v>
      </c>
      <c r="E103" s="18" t="s">
        <v>202</v>
      </c>
      <c r="F103" s="18" t="s">
        <v>195</v>
      </c>
      <c r="G103" s="18" t="s">
        <v>196</v>
      </c>
    </row>
    <row r="104" ht="15.75" customHeight="1">
      <c r="A104" s="18" t="s">
        <v>148</v>
      </c>
      <c r="B104" s="18" t="s">
        <v>84</v>
      </c>
      <c r="C104" s="18" t="s">
        <v>159</v>
      </c>
      <c r="D104" s="19">
        <v>10.0</v>
      </c>
      <c r="E104" s="18" t="s">
        <v>194</v>
      </c>
      <c r="F104" s="18" t="s">
        <v>201</v>
      </c>
      <c r="G104" s="18" t="s">
        <v>196</v>
      </c>
    </row>
    <row r="105" ht="15.75" customHeight="1">
      <c r="A105" s="18" t="s">
        <v>148</v>
      </c>
      <c r="B105" s="18" t="s">
        <v>84</v>
      </c>
      <c r="C105" s="18" t="s">
        <v>156</v>
      </c>
      <c r="D105" s="19">
        <v>9.0</v>
      </c>
      <c r="E105" s="18" t="s">
        <v>202</v>
      </c>
      <c r="F105" s="18" t="s">
        <v>201</v>
      </c>
      <c r="G105" s="18" t="s">
        <v>196</v>
      </c>
    </row>
    <row r="106" ht="15.75" customHeight="1">
      <c r="A106" s="18" t="s">
        <v>148</v>
      </c>
      <c r="B106" s="18" t="s">
        <v>84</v>
      </c>
      <c r="C106" s="18" t="s">
        <v>204</v>
      </c>
      <c r="D106" s="19">
        <v>5.0</v>
      </c>
      <c r="E106" s="18" t="s">
        <v>202</v>
      </c>
      <c r="F106" s="18" t="s">
        <v>200</v>
      </c>
      <c r="G106" s="18" t="s">
        <v>196</v>
      </c>
    </row>
    <row r="107" ht="15.75" customHeight="1">
      <c r="A107" s="18" t="s">
        <v>89</v>
      </c>
      <c r="B107" s="18" t="s">
        <v>90</v>
      </c>
      <c r="C107" s="18" t="s">
        <v>155</v>
      </c>
      <c r="D107" s="19">
        <v>10.0</v>
      </c>
      <c r="E107" s="18" t="s">
        <v>197</v>
      </c>
      <c r="F107" s="18" t="s">
        <v>200</v>
      </c>
      <c r="G107" s="18" t="s">
        <v>196</v>
      </c>
    </row>
    <row r="108" ht="15.75" customHeight="1">
      <c r="A108" s="18" t="s">
        <v>89</v>
      </c>
      <c r="B108" s="18" t="s">
        <v>90</v>
      </c>
      <c r="C108" s="18" t="s">
        <v>158</v>
      </c>
      <c r="D108" s="19">
        <v>8.0</v>
      </c>
      <c r="E108" s="18" t="s">
        <v>194</v>
      </c>
      <c r="F108" s="18" t="s">
        <v>195</v>
      </c>
      <c r="G108" s="18" t="s">
        <v>203</v>
      </c>
    </row>
    <row r="109" ht="15.75" customHeight="1">
      <c r="A109" s="18" t="s">
        <v>148</v>
      </c>
      <c r="B109" s="18" t="s">
        <v>84</v>
      </c>
      <c r="C109" s="18" t="s">
        <v>204</v>
      </c>
      <c r="D109" s="19">
        <v>10.0</v>
      </c>
      <c r="E109" s="18" t="s">
        <v>194</v>
      </c>
      <c r="F109" s="18" t="s">
        <v>195</v>
      </c>
      <c r="G109" s="18" t="s">
        <v>203</v>
      </c>
    </row>
    <row r="110" ht="15.75" customHeight="1">
      <c r="A110" s="18" t="s">
        <v>148</v>
      </c>
      <c r="B110" s="18" t="s">
        <v>84</v>
      </c>
      <c r="C110" s="18" t="s">
        <v>158</v>
      </c>
      <c r="D110" s="19">
        <v>9.0</v>
      </c>
      <c r="E110" s="18" t="s">
        <v>194</v>
      </c>
      <c r="F110" s="18" t="s">
        <v>206</v>
      </c>
      <c r="G110" s="18" t="s">
        <v>196</v>
      </c>
    </row>
    <row r="111" ht="15.75" customHeight="1">
      <c r="A111" s="18" t="s">
        <v>144</v>
      </c>
      <c r="B111" s="18" t="s">
        <v>84</v>
      </c>
      <c r="C111" s="18" t="s">
        <v>158</v>
      </c>
      <c r="D111" s="19">
        <v>10.0</v>
      </c>
      <c r="E111" s="18" t="s">
        <v>194</v>
      </c>
      <c r="F111" s="18" t="s">
        <v>195</v>
      </c>
      <c r="G111" s="18" t="s">
        <v>196</v>
      </c>
    </row>
    <row r="112" ht="15.75" customHeight="1">
      <c r="A112" s="18" t="s">
        <v>148</v>
      </c>
      <c r="B112" s="18" t="s">
        <v>84</v>
      </c>
      <c r="C112" s="18" t="s">
        <v>158</v>
      </c>
      <c r="D112" s="19">
        <v>7.0</v>
      </c>
      <c r="E112" s="18" t="s">
        <v>202</v>
      </c>
      <c r="F112" s="21" t="s">
        <v>198</v>
      </c>
      <c r="G112" s="18" t="s">
        <v>196</v>
      </c>
    </row>
    <row r="113" ht="15.75" customHeight="1">
      <c r="A113" s="18" t="s">
        <v>148</v>
      </c>
      <c r="B113" s="18" t="s">
        <v>84</v>
      </c>
      <c r="C113" s="18" t="s">
        <v>158</v>
      </c>
      <c r="D113" s="19">
        <v>10.0</v>
      </c>
      <c r="E113" s="18" t="s">
        <v>194</v>
      </c>
      <c r="F113" s="18" t="s">
        <v>195</v>
      </c>
      <c r="G113" s="18" t="s">
        <v>196</v>
      </c>
    </row>
    <row r="114" ht="15.75" customHeight="1">
      <c r="A114" s="18" t="s">
        <v>144</v>
      </c>
      <c r="B114" s="18" t="s">
        <v>84</v>
      </c>
      <c r="C114" s="18" t="s">
        <v>155</v>
      </c>
      <c r="D114" s="19">
        <v>10.0</v>
      </c>
      <c r="E114" s="18" t="s">
        <v>202</v>
      </c>
      <c r="F114" s="18" t="s">
        <v>200</v>
      </c>
      <c r="G114" s="18" t="s">
        <v>196</v>
      </c>
    </row>
    <row r="115" ht="15.75" customHeight="1">
      <c r="A115" s="18" t="s">
        <v>144</v>
      </c>
      <c r="B115" s="18" t="s">
        <v>84</v>
      </c>
      <c r="C115" s="18" t="s">
        <v>158</v>
      </c>
      <c r="D115" s="19">
        <v>10.0</v>
      </c>
      <c r="E115" s="18" t="s">
        <v>202</v>
      </c>
      <c r="F115" s="18" t="s">
        <v>195</v>
      </c>
      <c r="G115" s="18" t="s">
        <v>199</v>
      </c>
    </row>
    <row r="116" ht="15.75" customHeight="1">
      <c r="A116" s="18" t="s">
        <v>97</v>
      </c>
      <c r="B116" s="18" t="s">
        <v>84</v>
      </c>
      <c r="C116" s="18" t="s">
        <v>155</v>
      </c>
      <c r="D116" s="19">
        <v>2.0</v>
      </c>
      <c r="E116" s="18" t="s">
        <v>194</v>
      </c>
      <c r="F116" s="18" t="s">
        <v>200</v>
      </c>
      <c r="G116" s="18" t="s">
        <v>196</v>
      </c>
    </row>
    <row r="117" ht="15.75" customHeight="1">
      <c r="A117" s="18" t="s">
        <v>97</v>
      </c>
      <c r="B117" s="18" t="s">
        <v>84</v>
      </c>
      <c r="C117" s="18" t="s">
        <v>156</v>
      </c>
      <c r="D117" s="19">
        <v>3.0</v>
      </c>
      <c r="E117" s="18" t="s">
        <v>194</v>
      </c>
      <c r="F117" s="18" t="s">
        <v>200</v>
      </c>
      <c r="G117" s="18" t="s">
        <v>196</v>
      </c>
    </row>
    <row r="118" ht="15.75" customHeight="1">
      <c r="A118" s="18" t="s">
        <v>97</v>
      </c>
      <c r="B118" s="18" t="s">
        <v>84</v>
      </c>
      <c r="C118" s="18" t="s">
        <v>158</v>
      </c>
      <c r="D118" s="19">
        <v>8.0</v>
      </c>
      <c r="E118" s="18" t="s">
        <v>202</v>
      </c>
      <c r="F118" s="18" t="s">
        <v>195</v>
      </c>
      <c r="G118" s="18" t="s">
        <v>203</v>
      </c>
    </row>
    <row r="119" ht="15.75" customHeight="1">
      <c r="A119" s="18" t="s">
        <v>97</v>
      </c>
      <c r="B119" s="18" t="s">
        <v>84</v>
      </c>
      <c r="C119" s="18" t="s">
        <v>158</v>
      </c>
      <c r="D119" s="19">
        <v>2.0</v>
      </c>
      <c r="E119" s="18" t="s">
        <v>202</v>
      </c>
      <c r="F119" s="18" t="s">
        <v>201</v>
      </c>
      <c r="G119" s="18" t="s">
        <v>196</v>
      </c>
    </row>
    <row r="120" ht="15.75" customHeight="1">
      <c r="A120" s="18" t="s">
        <v>97</v>
      </c>
      <c r="B120" s="18" t="s">
        <v>84</v>
      </c>
      <c r="C120" s="18" t="s">
        <v>159</v>
      </c>
      <c r="D120" s="19">
        <v>10.0</v>
      </c>
      <c r="E120" s="18" t="s">
        <v>202</v>
      </c>
      <c r="F120" s="18" t="s">
        <v>200</v>
      </c>
      <c r="G120" s="18" t="s">
        <v>196</v>
      </c>
    </row>
    <row r="121" ht="15.75" customHeight="1">
      <c r="A121" s="18" t="s">
        <v>101</v>
      </c>
      <c r="B121" s="18" t="s">
        <v>102</v>
      </c>
      <c r="C121" s="18" t="s">
        <v>156</v>
      </c>
      <c r="D121" s="19">
        <v>1.0</v>
      </c>
      <c r="E121" s="18" t="s">
        <v>194</v>
      </c>
      <c r="F121" s="18" t="s">
        <v>195</v>
      </c>
      <c r="G121" s="18" t="s">
        <v>199</v>
      </c>
    </row>
    <row r="122" ht="15.75" customHeight="1">
      <c r="A122" s="18" t="s">
        <v>101</v>
      </c>
      <c r="B122" s="18" t="s">
        <v>102</v>
      </c>
      <c r="C122" s="18" t="s">
        <v>158</v>
      </c>
      <c r="D122" s="19">
        <v>2.0</v>
      </c>
      <c r="E122" s="18" t="s">
        <v>194</v>
      </c>
      <c r="F122" s="18" t="s">
        <v>201</v>
      </c>
      <c r="G122" s="18" t="s">
        <v>196</v>
      </c>
    </row>
    <row r="123" ht="15.75" customHeight="1">
      <c r="A123" s="18" t="s">
        <v>101</v>
      </c>
      <c r="B123" s="18" t="s">
        <v>102</v>
      </c>
      <c r="C123" s="18" t="s">
        <v>158</v>
      </c>
      <c r="D123" s="19">
        <v>7.0</v>
      </c>
      <c r="E123" s="18" t="s">
        <v>194</v>
      </c>
      <c r="F123" s="18" t="s">
        <v>195</v>
      </c>
      <c r="G123" s="18" t="s">
        <v>196</v>
      </c>
    </row>
    <row r="124" ht="15.75" customHeight="1">
      <c r="A124" s="18" t="s">
        <v>93</v>
      </c>
      <c r="B124" s="18" t="s">
        <v>84</v>
      </c>
      <c r="C124" s="18" t="s">
        <v>158</v>
      </c>
      <c r="D124" s="19">
        <v>10.0</v>
      </c>
      <c r="E124" s="18" t="s">
        <v>197</v>
      </c>
      <c r="F124" s="18" t="s">
        <v>195</v>
      </c>
      <c r="G124" s="18" t="s">
        <v>196</v>
      </c>
    </row>
    <row r="125" ht="15.75" customHeight="1">
      <c r="A125" s="18" t="s">
        <v>101</v>
      </c>
      <c r="B125" s="18" t="s">
        <v>102</v>
      </c>
      <c r="C125" s="18" t="s">
        <v>158</v>
      </c>
      <c r="D125" s="19">
        <v>1.0</v>
      </c>
      <c r="E125" s="18" t="s">
        <v>194</v>
      </c>
      <c r="F125" s="18" t="s">
        <v>195</v>
      </c>
      <c r="G125" s="18" t="s">
        <v>196</v>
      </c>
    </row>
    <row r="126" ht="15.75" customHeight="1">
      <c r="A126" s="18" t="s">
        <v>133</v>
      </c>
      <c r="B126" s="18" t="s">
        <v>117</v>
      </c>
      <c r="C126" s="21" t="s">
        <v>160</v>
      </c>
      <c r="D126" s="19">
        <v>8.0</v>
      </c>
      <c r="E126" s="18" t="s">
        <v>194</v>
      </c>
      <c r="F126" s="18" t="s">
        <v>195</v>
      </c>
      <c r="G126" s="18" t="s">
        <v>196</v>
      </c>
    </row>
    <row r="127" ht="15.75" customHeight="1">
      <c r="A127" s="18" t="s">
        <v>133</v>
      </c>
      <c r="B127" s="18" t="s">
        <v>117</v>
      </c>
      <c r="C127" s="18" t="s">
        <v>155</v>
      </c>
      <c r="D127" s="19">
        <v>7.0</v>
      </c>
      <c r="E127" s="18" t="s">
        <v>194</v>
      </c>
      <c r="F127" s="18" t="s">
        <v>195</v>
      </c>
      <c r="G127" s="18" t="s">
        <v>196</v>
      </c>
    </row>
    <row r="128" ht="15.75" customHeight="1">
      <c r="A128" s="18" t="s">
        <v>133</v>
      </c>
      <c r="B128" s="18" t="s">
        <v>117</v>
      </c>
      <c r="C128" s="18" t="s">
        <v>155</v>
      </c>
      <c r="D128" s="19">
        <v>8.0</v>
      </c>
      <c r="E128" s="18" t="s">
        <v>194</v>
      </c>
      <c r="F128" s="21" t="s">
        <v>198</v>
      </c>
      <c r="G128" s="18" t="s">
        <v>196</v>
      </c>
    </row>
    <row r="129" ht="15.75" customHeight="1">
      <c r="A129" s="18" t="s">
        <v>133</v>
      </c>
      <c r="B129" s="18" t="s">
        <v>117</v>
      </c>
      <c r="C129" s="21" t="s">
        <v>160</v>
      </c>
      <c r="D129" s="19">
        <v>8.0</v>
      </c>
      <c r="E129" s="18" t="s">
        <v>194</v>
      </c>
      <c r="F129" s="18" t="s">
        <v>201</v>
      </c>
      <c r="G129" s="18" t="s">
        <v>199</v>
      </c>
    </row>
    <row r="130" ht="15.75" customHeight="1">
      <c r="A130" s="18" t="s">
        <v>133</v>
      </c>
      <c r="B130" s="18" t="s">
        <v>117</v>
      </c>
      <c r="C130" s="18" t="s">
        <v>156</v>
      </c>
      <c r="D130" s="19">
        <v>10.0</v>
      </c>
      <c r="E130" s="18" t="s">
        <v>202</v>
      </c>
      <c r="F130" s="18" t="s">
        <v>195</v>
      </c>
      <c r="G130" s="18" t="s">
        <v>199</v>
      </c>
    </row>
    <row r="131" ht="15.75" customHeight="1">
      <c r="A131" s="18" t="s">
        <v>135</v>
      </c>
      <c r="B131" s="18" t="s">
        <v>99</v>
      </c>
      <c r="C131" s="18" t="s">
        <v>158</v>
      </c>
      <c r="D131" s="19">
        <v>5.0</v>
      </c>
      <c r="E131" s="18" t="s">
        <v>194</v>
      </c>
      <c r="F131" s="18" t="s">
        <v>201</v>
      </c>
      <c r="G131" s="18" t="s">
        <v>196</v>
      </c>
    </row>
    <row r="132" ht="15.75" customHeight="1">
      <c r="A132" s="18" t="s">
        <v>115</v>
      </c>
      <c r="B132" s="18" t="s">
        <v>99</v>
      </c>
      <c r="C132" s="18" t="s">
        <v>158</v>
      </c>
      <c r="D132" s="19">
        <v>6.0</v>
      </c>
      <c r="E132" s="18" t="s">
        <v>202</v>
      </c>
      <c r="F132" s="18" t="s">
        <v>195</v>
      </c>
      <c r="G132" s="18" t="s">
        <v>196</v>
      </c>
    </row>
    <row r="133" ht="15.75" customHeight="1">
      <c r="A133" s="18" t="s">
        <v>118</v>
      </c>
      <c r="B133" s="18" t="s">
        <v>119</v>
      </c>
      <c r="C133" s="18" t="s">
        <v>158</v>
      </c>
      <c r="D133" s="19">
        <v>10.0</v>
      </c>
      <c r="E133" s="18" t="s">
        <v>202</v>
      </c>
      <c r="F133" s="18" t="s">
        <v>195</v>
      </c>
      <c r="G133" s="18" t="s">
        <v>196</v>
      </c>
    </row>
    <row r="134" ht="15.75" customHeight="1">
      <c r="A134" s="18" t="s">
        <v>118</v>
      </c>
      <c r="B134" s="18" t="s">
        <v>119</v>
      </c>
      <c r="C134" s="18" t="s">
        <v>159</v>
      </c>
      <c r="D134" s="19">
        <v>6.0</v>
      </c>
      <c r="E134" s="18" t="s">
        <v>194</v>
      </c>
      <c r="F134" s="18" t="s">
        <v>195</v>
      </c>
      <c r="G134" s="18" t="s">
        <v>196</v>
      </c>
    </row>
    <row r="135" ht="15.75" customHeight="1">
      <c r="A135" s="18" t="s">
        <v>118</v>
      </c>
      <c r="B135" s="18" t="s">
        <v>119</v>
      </c>
      <c r="C135" s="18" t="s">
        <v>159</v>
      </c>
      <c r="D135" s="19">
        <v>7.0</v>
      </c>
      <c r="E135" s="18" t="s">
        <v>194</v>
      </c>
      <c r="F135" s="21" t="s">
        <v>198</v>
      </c>
      <c r="G135" s="18" t="s">
        <v>196</v>
      </c>
    </row>
    <row r="136" ht="15.75" customHeight="1">
      <c r="A136" s="18" t="s">
        <v>118</v>
      </c>
      <c r="B136" s="18" t="s">
        <v>119</v>
      </c>
      <c r="C136" s="18" t="s">
        <v>156</v>
      </c>
      <c r="D136" s="19">
        <v>8.0</v>
      </c>
      <c r="E136" s="18" t="s">
        <v>194</v>
      </c>
      <c r="F136" s="18" t="s">
        <v>201</v>
      </c>
      <c r="G136" s="18" t="s">
        <v>196</v>
      </c>
    </row>
    <row r="137" ht="15.75" customHeight="1">
      <c r="A137" s="18" t="s">
        <v>118</v>
      </c>
      <c r="B137" s="18" t="s">
        <v>119</v>
      </c>
      <c r="C137" s="18" t="s">
        <v>155</v>
      </c>
      <c r="D137" s="19">
        <v>7.0</v>
      </c>
      <c r="E137" s="18" t="s">
        <v>194</v>
      </c>
      <c r="F137" s="18" t="s">
        <v>200</v>
      </c>
      <c r="G137" s="18" t="s">
        <v>196</v>
      </c>
    </row>
    <row r="138" ht="15.75" customHeight="1">
      <c r="A138" s="18" t="s">
        <v>116</v>
      </c>
      <c r="B138" s="18" t="s">
        <v>117</v>
      </c>
      <c r="C138" s="21" t="s">
        <v>160</v>
      </c>
      <c r="D138" s="19">
        <v>6.0</v>
      </c>
      <c r="E138" s="18" t="s">
        <v>194</v>
      </c>
      <c r="F138" s="18" t="s">
        <v>201</v>
      </c>
      <c r="G138" s="18" t="s">
        <v>199</v>
      </c>
    </row>
    <row r="139" ht="15.75" customHeight="1">
      <c r="A139" s="18" t="s">
        <v>116</v>
      </c>
      <c r="B139" s="18" t="s">
        <v>117</v>
      </c>
      <c r="C139" s="18" t="s">
        <v>155</v>
      </c>
      <c r="D139" s="19">
        <v>6.0</v>
      </c>
      <c r="E139" s="18" t="s">
        <v>202</v>
      </c>
      <c r="F139" s="18" t="s">
        <v>195</v>
      </c>
      <c r="G139" s="18" t="s">
        <v>196</v>
      </c>
    </row>
    <row r="140" ht="15.75" customHeight="1">
      <c r="A140" s="18" t="s">
        <v>116</v>
      </c>
      <c r="B140" s="18" t="s">
        <v>117</v>
      </c>
      <c r="C140" s="18" t="s">
        <v>156</v>
      </c>
      <c r="D140" s="19">
        <v>5.0</v>
      </c>
      <c r="E140" s="18" t="s">
        <v>194</v>
      </c>
      <c r="F140" s="18" t="s">
        <v>201</v>
      </c>
      <c r="G140" s="18" t="s">
        <v>199</v>
      </c>
    </row>
    <row r="141" ht="15.75" customHeight="1">
      <c r="A141" s="18" t="s">
        <v>116</v>
      </c>
      <c r="B141" s="18" t="s">
        <v>117</v>
      </c>
      <c r="C141" s="18" t="s">
        <v>158</v>
      </c>
      <c r="D141" s="19">
        <v>8.0</v>
      </c>
      <c r="E141" s="18" t="s">
        <v>194</v>
      </c>
      <c r="F141" s="18" t="s">
        <v>201</v>
      </c>
      <c r="G141" s="18" t="s">
        <v>203</v>
      </c>
    </row>
    <row r="142" ht="15.75" customHeight="1">
      <c r="A142" s="18" t="s">
        <v>116</v>
      </c>
      <c r="B142" s="18" t="s">
        <v>117</v>
      </c>
      <c r="C142" s="18" t="s">
        <v>155</v>
      </c>
      <c r="D142" s="19">
        <v>6.0</v>
      </c>
      <c r="E142" s="18" t="s">
        <v>202</v>
      </c>
      <c r="F142" s="18" t="s">
        <v>201</v>
      </c>
      <c r="G142" s="18" t="s">
        <v>203</v>
      </c>
    </row>
    <row r="143" ht="15.75" customHeight="1">
      <c r="A143" s="18" t="s">
        <v>107</v>
      </c>
      <c r="B143" s="18" t="s">
        <v>84</v>
      </c>
      <c r="C143" s="18" t="s">
        <v>158</v>
      </c>
      <c r="D143" s="19">
        <v>9.0</v>
      </c>
      <c r="E143" s="18" t="s">
        <v>202</v>
      </c>
      <c r="F143" s="18" t="s">
        <v>195</v>
      </c>
      <c r="G143" s="18" t="s">
        <v>199</v>
      </c>
    </row>
    <row r="144" ht="15.75" customHeight="1">
      <c r="A144" s="18" t="s">
        <v>107</v>
      </c>
      <c r="B144" s="18" t="s">
        <v>84</v>
      </c>
      <c r="C144" s="18" t="s">
        <v>180</v>
      </c>
      <c r="D144" s="19">
        <v>10.0</v>
      </c>
      <c r="E144" s="18" t="s">
        <v>194</v>
      </c>
      <c r="F144" s="18" t="s">
        <v>195</v>
      </c>
      <c r="G144" s="18" t="s">
        <v>196</v>
      </c>
    </row>
    <row r="145" ht="15.75" customHeight="1">
      <c r="A145" s="18" t="s">
        <v>107</v>
      </c>
      <c r="B145" s="18" t="s">
        <v>84</v>
      </c>
      <c r="C145" s="18" t="s">
        <v>158</v>
      </c>
      <c r="D145" s="19">
        <v>10.0</v>
      </c>
      <c r="E145" s="18" t="s">
        <v>194</v>
      </c>
      <c r="F145" s="18" t="s">
        <v>195</v>
      </c>
      <c r="G145" s="18" t="s">
        <v>199</v>
      </c>
    </row>
    <row r="146" ht="15.75" customHeight="1">
      <c r="A146" s="18" t="s">
        <v>122</v>
      </c>
      <c r="B146" s="18" t="s">
        <v>84</v>
      </c>
      <c r="C146" s="18" t="s">
        <v>158</v>
      </c>
      <c r="D146" s="19">
        <v>10.0</v>
      </c>
      <c r="E146" s="18" t="s">
        <v>202</v>
      </c>
      <c r="F146" s="18" t="s">
        <v>195</v>
      </c>
      <c r="G146" s="18" t="s">
        <v>199</v>
      </c>
    </row>
    <row r="147" ht="15.75" customHeight="1">
      <c r="A147" s="18" t="s">
        <v>122</v>
      </c>
      <c r="B147" s="18" t="s">
        <v>84</v>
      </c>
      <c r="C147" s="18" t="s">
        <v>180</v>
      </c>
      <c r="D147" s="19">
        <v>8.0</v>
      </c>
      <c r="E147" s="18" t="s">
        <v>202</v>
      </c>
      <c r="F147" s="18" t="s">
        <v>195</v>
      </c>
      <c r="G147" s="18" t="s">
        <v>203</v>
      </c>
    </row>
    <row r="148" ht="15.75" customHeight="1">
      <c r="A148" s="18" t="s">
        <v>122</v>
      </c>
      <c r="B148" s="18" t="s">
        <v>84</v>
      </c>
      <c r="C148" s="18" t="s">
        <v>158</v>
      </c>
      <c r="D148" s="19">
        <v>8.0</v>
      </c>
      <c r="E148" s="18" t="s">
        <v>194</v>
      </c>
      <c r="F148" s="18" t="s">
        <v>195</v>
      </c>
      <c r="G148" s="18" t="s">
        <v>196</v>
      </c>
    </row>
    <row r="149" ht="15.75" customHeight="1">
      <c r="A149" s="18" t="s">
        <v>122</v>
      </c>
      <c r="B149" s="18" t="s">
        <v>84</v>
      </c>
      <c r="C149" s="18" t="s">
        <v>158</v>
      </c>
      <c r="D149" s="19">
        <v>9.0</v>
      </c>
      <c r="E149" s="18" t="s">
        <v>194</v>
      </c>
      <c r="F149" s="18" t="s">
        <v>195</v>
      </c>
      <c r="G149" s="18" t="s">
        <v>199</v>
      </c>
    </row>
    <row r="150" ht="15.75" customHeight="1">
      <c r="A150" s="18" t="s">
        <v>93</v>
      </c>
      <c r="B150" s="18" t="s">
        <v>84</v>
      </c>
      <c r="C150" s="21" t="s">
        <v>160</v>
      </c>
      <c r="D150" s="19">
        <v>7.0</v>
      </c>
      <c r="E150" s="18" t="s">
        <v>194</v>
      </c>
      <c r="F150" s="18" t="s">
        <v>195</v>
      </c>
      <c r="G150" s="18" t="s">
        <v>196</v>
      </c>
    </row>
    <row r="151" ht="15.75" customHeight="1">
      <c r="A151" s="18" t="s">
        <v>93</v>
      </c>
      <c r="B151" s="18" t="s">
        <v>84</v>
      </c>
      <c r="C151" s="18" t="s">
        <v>158</v>
      </c>
      <c r="D151" s="19">
        <v>5.0</v>
      </c>
      <c r="E151" s="18" t="s">
        <v>194</v>
      </c>
      <c r="F151" s="18" t="s">
        <v>195</v>
      </c>
      <c r="G151" s="18" t="s">
        <v>196</v>
      </c>
    </row>
    <row r="152" ht="15.75" customHeight="1">
      <c r="A152" s="18" t="s">
        <v>93</v>
      </c>
      <c r="B152" s="18" t="s">
        <v>84</v>
      </c>
      <c r="C152" s="18" t="s">
        <v>158</v>
      </c>
      <c r="D152" s="19">
        <v>8.0</v>
      </c>
      <c r="E152" s="18" t="s">
        <v>194</v>
      </c>
      <c r="F152" s="18" t="s">
        <v>195</v>
      </c>
      <c r="G152" s="18" t="s">
        <v>196</v>
      </c>
    </row>
    <row r="153" ht="15.75" customHeight="1">
      <c r="A153" s="18" t="s">
        <v>93</v>
      </c>
      <c r="B153" s="18" t="s">
        <v>84</v>
      </c>
      <c r="C153" s="18" t="s">
        <v>158</v>
      </c>
      <c r="D153" s="19">
        <v>9.0</v>
      </c>
      <c r="E153" s="18" t="s">
        <v>194</v>
      </c>
      <c r="F153" s="18" t="s">
        <v>195</v>
      </c>
      <c r="G153" s="18" t="s">
        <v>196</v>
      </c>
    </row>
    <row r="154" ht="15.75" customHeight="1">
      <c r="A154" s="18" t="s">
        <v>106</v>
      </c>
      <c r="B154" s="18" t="s">
        <v>84</v>
      </c>
      <c r="C154" s="18" t="s">
        <v>158</v>
      </c>
      <c r="D154" s="19">
        <v>9.0</v>
      </c>
      <c r="E154" s="18" t="s">
        <v>202</v>
      </c>
      <c r="F154" s="18" t="s">
        <v>195</v>
      </c>
      <c r="G154" s="18" t="s">
        <v>196</v>
      </c>
    </row>
    <row r="155" ht="15.75" customHeight="1">
      <c r="A155" s="18" t="s">
        <v>135</v>
      </c>
      <c r="B155" s="18" t="s">
        <v>99</v>
      </c>
      <c r="C155" s="18" t="s">
        <v>158</v>
      </c>
      <c r="D155" s="19">
        <v>8.0</v>
      </c>
      <c r="E155" s="18" t="s">
        <v>194</v>
      </c>
      <c r="F155" s="18" t="s">
        <v>195</v>
      </c>
      <c r="G155" s="18" t="s">
        <v>196</v>
      </c>
    </row>
    <row r="156" ht="15.75" customHeight="1">
      <c r="A156" s="18" t="s">
        <v>135</v>
      </c>
      <c r="B156" s="18" t="s">
        <v>99</v>
      </c>
      <c r="C156" s="21" t="s">
        <v>160</v>
      </c>
      <c r="D156" s="19">
        <v>7.0</v>
      </c>
      <c r="E156" s="18" t="s">
        <v>194</v>
      </c>
      <c r="F156" s="18" t="s">
        <v>195</v>
      </c>
      <c r="G156" s="18" t="s">
        <v>199</v>
      </c>
    </row>
    <row r="157" ht="15.75" customHeight="1">
      <c r="A157" s="18" t="s">
        <v>135</v>
      </c>
      <c r="B157" s="18" t="s">
        <v>99</v>
      </c>
      <c r="C157" s="18" t="s">
        <v>158</v>
      </c>
      <c r="D157" s="19">
        <v>8.0</v>
      </c>
      <c r="E157" s="18" t="s">
        <v>194</v>
      </c>
      <c r="F157" s="18" t="s">
        <v>195</v>
      </c>
      <c r="G157" s="18" t="s">
        <v>203</v>
      </c>
    </row>
    <row r="158" ht="15.75" customHeight="1">
      <c r="A158" s="18" t="s">
        <v>135</v>
      </c>
      <c r="B158" s="18" t="s">
        <v>99</v>
      </c>
      <c r="C158" s="18" t="s">
        <v>158</v>
      </c>
      <c r="D158" s="19">
        <v>9.0</v>
      </c>
      <c r="E158" s="18" t="s">
        <v>194</v>
      </c>
      <c r="F158" s="18" t="s">
        <v>195</v>
      </c>
      <c r="G158" s="18" t="s">
        <v>199</v>
      </c>
    </row>
    <row r="159" ht="15.75" customHeight="1">
      <c r="A159" s="18" t="s">
        <v>104</v>
      </c>
      <c r="B159" s="18" t="s">
        <v>99</v>
      </c>
      <c r="C159" s="18" t="s">
        <v>158</v>
      </c>
      <c r="D159" s="19">
        <v>8.0</v>
      </c>
      <c r="E159" s="18" t="s">
        <v>194</v>
      </c>
      <c r="F159" s="18" t="s">
        <v>195</v>
      </c>
      <c r="G159" s="18" t="s">
        <v>199</v>
      </c>
    </row>
    <row r="160" ht="15.75" customHeight="1">
      <c r="A160" s="18" t="s">
        <v>104</v>
      </c>
      <c r="B160" s="18" t="s">
        <v>99</v>
      </c>
      <c r="C160" s="18" t="s">
        <v>158</v>
      </c>
      <c r="D160" s="19">
        <v>10.0</v>
      </c>
      <c r="E160" s="18" t="s">
        <v>194</v>
      </c>
      <c r="F160" s="18" t="s">
        <v>195</v>
      </c>
      <c r="G160" s="18" t="s">
        <v>196</v>
      </c>
    </row>
    <row r="161" ht="15.75" customHeight="1">
      <c r="A161" s="18" t="s">
        <v>104</v>
      </c>
      <c r="B161" s="18" t="s">
        <v>99</v>
      </c>
      <c r="C161" s="18" t="s">
        <v>158</v>
      </c>
      <c r="D161" s="19">
        <v>10.0</v>
      </c>
      <c r="E161" s="18" t="s">
        <v>194</v>
      </c>
      <c r="F161" s="18" t="s">
        <v>195</v>
      </c>
      <c r="G161" s="18" t="s">
        <v>205</v>
      </c>
    </row>
    <row r="162" ht="15.75" customHeight="1">
      <c r="A162" s="18" t="s">
        <v>104</v>
      </c>
      <c r="B162" s="18" t="s">
        <v>99</v>
      </c>
      <c r="C162" s="18" t="s">
        <v>158</v>
      </c>
      <c r="D162" s="19">
        <v>6.0</v>
      </c>
      <c r="E162" s="18" t="s">
        <v>194</v>
      </c>
      <c r="F162" s="18" t="s">
        <v>195</v>
      </c>
      <c r="G162" s="18" t="s">
        <v>199</v>
      </c>
    </row>
    <row r="163" ht="15.75" customHeight="1">
      <c r="A163" s="18" t="s">
        <v>149</v>
      </c>
      <c r="B163" s="18" t="s">
        <v>99</v>
      </c>
      <c r="C163" s="18" t="s">
        <v>180</v>
      </c>
      <c r="D163" s="19">
        <v>9.0</v>
      </c>
      <c r="E163" s="18" t="s">
        <v>194</v>
      </c>
      <c r="F163" s="18" t="s">
        <v>195</v>
      </c>
      <c r="G163" s="18" t="s">
        <v>196</v>
      </c>
    </row>
    <row r="164" ht="15.75" customHeight="1">
      <c r="A164" s="18" t="s">
        <v>149</v>
      </c>
      <c r="B164" s="18" t="s">
        <v>99</v>
      </c>
      <c r="C164" s="18" t="s">
        <v>158</v>
      </c>
      <c r="D164" s="19">
        <v>9.0</v>
      </c>
      <c r="E164" s="18" t="s">
        <v>194</v>
      </c>
      <c r="F164" s="18" t="s">
        <v>201</v>
      </c>
      <c r="G164" s="18" t="s">
        <v>196</v>
      </c>
    </row>
    <row r="165" ht="15.75" customHeight="1">
      <c r="A165" s="18" t="s">
        <v>115</v>
      </c>
      <c r="B165" s="18" t="s">
        <v>99</v>
      </c>
      <c r="C165" s="18" t="s">
        <v>158</v>
      </c>
      <c r="D165" s="19">
        <v>7.0</v>
      </c>
      <c r="E165" s="18" t="s">
        <v>194</v>
      </c>
      <c r="F165" s="18" t="s">
        <v>201</v>
      </c>
      <c r="G165" s="18" t="s">
        <v>196</v>
      </c>
    </row>
    <row r="166" ht="15.75" customHeight="1">
      <c r="A166" s="18" t="s">
        <v>115</v>
      </c>
      <c r="B166" s="18" t="s">
        <v>99</v>
      </c>
      <c r="C166" s="18" t="s">
        <v>158</v>
      </c>
      <c r="D166" s="19">
        <v>7.0</v>
      </c>
      <c r="E166" s="18" t="s">
        <v>194</v>
      </c>
      <c r="F166" s="21" t="s">
        <v>198</v>
      </c>
      <c r="G166" s="18" t="s">
        <v>199</v>
      </c>
    </row>
    <row r="167" ht="15.75" customHeight="1">
      <c r="A167" s="18" t="s">
        <v>115</v>
      </c>
      <c r="B167" s="18" t="s">
        <v>99</v>
      </c>
      <c r="C167" s="18" t="s">
        <v>158</v>
      </c>
      <c r="D167" s="19">
        <v>7.0</v>
      </c>
      <c r="E167" s="18" t="s">
        <v>194</v>
      </c>
      <c r="F167" s="18" t="s">
        <v>195</v>
      </c>
      <c r="G167" s="18" t="s">
        <v>196</v>
      </c>
    </row>
    <row r="168" ht="15.75" customHeight="1">
      <c r="A168" s="18" t="s">
        <v>115</v>
      </c>
      <c r="B168" s="18" t="s">
        <v>99</v>
      </c>
      <c r="C168" s="18" t="s">
        <v>158</v>
      </c>
      <c r="D168" s="19">
        <v>7.0</v>
      </c>
      <c r="E168" s="18" t="s">
        <v>194</v>
      </c>
      <c r="F168" s="18" t="s">
        <v>195</v>
      </c>
      <c r="G168" s="18" t="s">
        <v>199</v>
      </c>
    </row>
    <row r="169" ht="15.75" customHeight="1">
      <c r="A169" s="18" t="s">
        <v>134</v>
      </c>
      <c r="B169" s="18" t="s">
        <v>102</v>
      </c>
      <c r="C169" s="18" t="s">
        <v>180</v>
      </c>
      <c r="D169" s="19">
        <v>6.0</v>
      </c>
      <c r="E169" s="18" t="s">
        <v>194</v>
      </c>
      <c r="F169" s="18" t="s">
        <v>195</v>
      </c>
      <c r="G169" s="18" t="s">
        <v>199</v>
      </c>
    </row>
    <row r="170" ht="15.75" customHeight="1">
      <c r="A170" s="18" t="s">
        <v>134</v>
      </c>
      <c r="B170" s="18" t="s">
        <v>102</v>
      </c>
      <c r="C170" s="18" t="s">
        <v>158</v>
      </c>
      <c r="D170" s="19">
        <v>7.0</v>
      </c>
      <c r="E170" s="18" t="s">
        <v>194</v>
      </c>
      <c r="F170" s="18" t="s">
        <v>195</v>
      </c>
      <c r="G170" s="18" t="s">
        <v>199</v>
      </c>
    </row>
    <row r="171" ht="15.75" customHeight="1">
      <c r="A171" s="18" t="s">
        <v>134</v>
      </c>
      <c r="B171" s="18" t="s">
        <v>102</v>
      </c>
      <c r="C171" s="18" t="s">
        <v>158</v>
      </c>
      <c r="D171" s="19">
        <v>7.0</v>
      </c>
      <c r="E171" s="18" t="s">
        <v>194</v>
      </c>
      <c r="F171" s="18" t="s">
        <v>195</v>
      </c>
      <c r="G171" s="18" t="s">
        <v>196</v>
      </c>
    </row>
    <row r="172" ht="15.75" customHeight="1">
      <c r="A172" s="18" t="s">
        <v>134</v>
      </c>
      <c r="B172" s="18" t="s">
        <v>102</v>
      </c>
      <c r="C172" s="18" t="s">
        <v>158</v>
      </c>
      <c r="D172" s="19">
        <v>8.0</v>
      </c>
      <c r="E172" s="18" t="s">
        <v>194</v>
      </c>
      <c r="F172" s="18" t="s">
        <v>195</v>
      </c>
      <c r="G172" s="18" t="s">
        <v>196</v>
      </c>
    </row>
    <row r="173" ht="15.75" customHeight="1">
      <c r="A173" s="18" t="s">
        <v>140</v>
      </c>
      <c r="B173" s="18" t="s">
        <v>84</v>
      </c>
      <c r="C173" s="18" t="s">
        <v>158</v>
      </c>
      <c r="D173" s="19">
        <v>8.0</v>
      </c>
      <c r="E173" s="18" t="s">
        <v>194</v>
      </c>
      <c r="F173" s="18" t="s">
        <v>195</v>
      </c>
      <c r="G173" s="18" t="s">
        <v>196</v>
      </c>
    </row>
    <row r="174" ht="15.75" customHeight="1">
      <c r="A174" s="18" t="s">
        <v>140</v>
      </c>
      <c r="B174" s="18" t="s">
        <v>84</v>
      </c>
      <c r="C174" s="18" t="s">
        <v>158</v>
      </c>
      <c r="D174" s="19">
        <v>8.0</v>
      </c>
      <c r="E174" s="18" t="s">
        <v>194</v>
      </c>
      <c r="F174" s="18" t="s">
        <v>195</v>
      </c>
      <c r="G174" s="18" t="s">
        <v>199</v>
      </c>
    </row>
    <row r="175" ht="15.75" customHeight="1">
      <c r="A175" s="18" t="s">
        <v>140</v>
      </c>
      <c r="B175" s="18" t="s">
        <v>84</v>
      </c>
      <c r="C175" s="18" t="s">
        <v>158</v>
      </c>
      <c r="D175" s="19">
        <v>9.0</v>
      </c>
      <c r="E175" s="18" t="s">
        <v>194</v>
      </c>
      <c r="F175" s="18" t="s">
        <v>195</v>
      </c>
      <c r="G175" s="18" t="s">
        <v>199</v>
      </c>
    </row>
    <row r="176" ht="15.75" customHeight="1">
      <c r="A176" s="18" t="s">
        <v>140</v>
      </c>
      <c r="B176" s="18" t="s">
        <v>84</v>
      </c>
      <c r="C176" s="18" t="s">
        <v>158</v>
      </c>
      <c r="D176" s="19">
        <v>9.0</v>
      </c>
      <c r="E176" s="18" t="s">
        <v>194</v>
      </c>
      <c r="F176" s="18" t="s">
        <v>195</v>
      </c>
      <c r="G176" s="18" t="s">
        <v>196</v>
      </c>
    </row>
    <row r="177" ht="15.75" customHeight="1">
      <c r="A177" s="18" t="s">
        <v>101</v>
      </c>
      <c r="B177" s="18" t="s">
        <v>102</v>
      </c>
      <c r="C177" s="18" t="s">
        <v>158</v>
      </c>
      <c r="D177" s="19">
        <v>10.0</v>
      </c>
      <c r="E177" s="18" t="s">
        <v>194</v>
      </c>
      <c r="F177" s="18" t="s">
        <v>195</v>
      </c>
      <c r="G177" s="18" t="s">
        <v>196</v>
      </c>
    </row>
    <row r="178" ht="15.75" customHeight="1">
      <c r="A178" s="18" t="s">
        <v>101</v>
      </c>
      <c r="B178" s="18" t="s">
        <v>102</v>
      </c>
      <c r="C178" s="18" t="s">
        <v>158</v>
      </c>
      <c r="D178" s="19">
        <v>9.0</v>
      </c>
      <c r="E178" s="18" t="s">
        <v>194</v>
      </c>
      <c r="F178" s="18" t="s">
        <v>201</v>
      </c>
      <c r="G178" s="18" t="s">
        <v>199</v>
      </c>
    </row>
    <row r="179" ht="15.75" customHeight="1">
      <c r="A179" s="18" t="s">
        <v>101</v>
      </c>
      <c r="B179" s="18" t="s">
        <v>102</v>
      </c>
      <c r="C179" s="18" t="s">
        <v>158</v>
      </c>
      <c r="D179" s="19">
        <v>9.0</v>
      </c>
      <c r="E179" s="18" t="s">
        <v>194</v>
      </c>
      <c r="F179" s="18" t="s">
        <v>195</v>
      </c>
      <c r="G179" s="18" t="s">
        <v>196</v>
      </c>
    </row>
    <row r="180" ht="15.75" customHeight="1">
      <c r="A180" s="18" t="s">
        <v>101</v>
      </c>
      <c r="B180" s="18" t="s">
        <v>102</v>
      </c>
      <c r="C180" s="18" t="s">
        <v>158</v>
      </c>
      <c r="D180" s="19">
        <v>8.0</v>
      </c>
      <c r="E180" s="18" t="s">
        <v>194</v>
      </c>
      <c r="F180" s="18" t="s">
        <v>195</v>
      </c>
      <c r="G180" s="18" t="s">
        <v>196</v>
      </c>
    </row>
    <row r="181" ht="15.75" customHeight="1">
      <c r="A181" s="18" t="s">
        <v>106</v>
      </c>
      <c r="B181" s="18" t="s">
        <v>84</v>
      </c>
      <c r="C181" s="18" t="s">
        <v>158</v>
      </c>
      <c r="D181" s="19">
        <v>8.0</v>
      </c>
      <c r="E181" s="18" t="s">
        <v>194</v>
      </c>
      <c r="F181" s="18" t="s">
        <v>195</v>
      </c>
      <c r="G181" s="18" t="s">
        <v>199</v>
      </c>
    </row>
    <row r="182" ht="15.75" customHeight="1">
      <c r="A182" s="18" t="s">
        <v>106</v>
      </c>
      <c r="B182" s="18" t="s">
        <v>84</v>
      </c>
      <c r="C182" s="18" t="s">
        <v>158</v>
      </c>
      <c r="D182" s="19">
        <v>8.0</v>
      </c>
      <c r="E182" s="18" t="s">
        <v>194</v>
      </c>
      <c r="F182" s="18" t="s">
        <v>195</v>
      </c>
      <c r="G182" s="18" t="s">
        <v>196</v>
      </c>
    </row>
    <row r="183" ht="15.75" customHeight="1">
      <c r="A183" s="18" t="s">
        <v>104</v>
      </c>
      <c r="B183" s="18" t="s">
        <v>99</v>
      </c>
      <c r="C183" s="18" t="s">
        <v>158</v>
      </c>
      <c r="D183" s="19">
        <v>8.0</v>
      </c>
      <c r="E183" s="18" t="s">
        <v>194</v>
      </c>
      <c r="F183" s="18" t="s">
        <v>201</v>
      </c>
      <c r="G183" s="18" t="s">
        <v>199</v>
      </c>
    </row>
    <row r="184" ht="15.75" customHeight="1">
      <c r="A184" s="18" t="s">
        <v>98</v>
      </c>
      <c r="B184" s="18" t="s">
        <v>99</v>
      </c>
      <c r="C184" s="18" t="s">
        <v>158</v>
      </c>
      <c r="D184" s="19">
        <v>7.0</v>
      </c>
      <c r="E184" s="18" t="s">
        <v>194</v>
      </c>
      <c r="F184" s="18" t="s">
        <v>195</v>
      </c>
      <c r="G184" s="18" t="s">
        <v>199</v>
      </c>
    </row>
    <row r="185" ht="15.75" customHeight="1">
      <c r="A185" s="18" t="s">
        <v>98</v>
      </c>
      <c r="B185" s="18" t="s">
        <v>99</v>
      </c>
      <c r="C185" s="18" t="s">
        <v>158</v>
      </c>
      <c r="D185" s="19">
        <v>8.0</v>
      </c>
      <c r="E185" s="18" t="s">
        <v>194</v>
      </c>
      <c r="F185" s="18" t="s">
        <v>195</v>
      </c>
      <c r="G185" s="18" t="s">
        <v>196</v>
      </c>
    </row>
    <row r="186" ht="15.75" customHeight="1">
      <c r="A186" s="18" t="s">
        <v>98</v>
      </c>
      <c r="B186" s="18" t="s">
        <v>99</v>
      </c>
      <c r="C186" s="18" t="s">
        <v>158</v>
      </c>
      <c r="D186" s="19">
        <v>7.0</v>
      </c>
      <c r="E186" s="18" t="s">
        <v>194</v>
      </c>
      <c r="F186" s="18" t="s">
        <v>201</v>
      </c>
      <c r="G186" s="18" t="s">
        <v>199</v>
      </c>
    </row>
    <row r="187" ht="15.75" customHeight="1">
      <c r="A187" s="18" t="s">
        <v>151</v>
      </c>
      <c r="B187" s="18" t="s">
        <v>102</v>
      </c>
      <c r="C187" s="18" t="s">
        <v>158</v>
      </c>
      <c r="D187" s="19">
        <v>10.0</v>
      </c>
      <c r="E187" s="18" t="s">
        <v>202</v>
      </c>
      <c r="F187" s="18" t="s">
        <v>201</v>
      </c>
      <c r="G187" s="18" t="s">
        <v>196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3" width="12.0"/>
    <col customWidth="1" min="4" max="4" width="16.0"/>
    <col customWidth="1" min="5" max="26" width="8.71"/>
  </cols>
  <sheetData>
    <row r="1">
      <c r="A1" s="16" t="s">
        <v>39</v>
      </c>
      <c r="B1" s="16" t="s">
        <v>207</v>
      </c>
      <c r="C1" s="16" t="s">
        <v>208</v>
      </c>
      <c r="D1" s="16" t="s">
        <v>209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4" t="s">
        <v>67</v>
      </c>
      <c r="B2" s="25">
        <f>COUNTIF('2. Data - Literacy Tests'!$A:$A,A2)</f>
        <v>5</v>
      </c>
      <c r="C2" s="25">
        <f>IF(B2&gt;0,ROUND(AVERAGEIF('2. Data - Literacy Tests'!$A:$A,A2,'2. Data - Literacy Tests'!$D:$D),0),"")</f>
        <v>72</v>
      </c>
      <c r="D2" s="25" t="str">
        <f t="shared" ref="D2:D38" si="1">IF(B2&gt;=3,"Valid","Indicative (n&lt;3)")</f>
        <v>Valid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4" t="s">
        <v>83</v>
      </c>
      <c r="B3" s="25">
        <f>COUNTIF('2. Data - Literacy Tests'!$A:$A,A3)</f>
        <v>5</v>
      </c>
      <c r="C3" s="25">
        <f>IF(B3&gt;0,ROUND(AVERAGEIF('2. Data - Literacy Tests'!$A:$A,A3,'2. Data - Literacy Tests'!$D:$D),0),"")</f>
        <v>78</v>
      </c>
      <c r="D3" s="25" t="str">
        <f t="shared" si="1"/>
        <v>Valid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4" t="s">
        <v>89</v>
      </c>
      <c r="B4" s="25">
        <f>COUNTIF('2. Data - Literacy Tests'!$A:$A,A4)</f>
        <v>5</v>
      </c>
      <c r="C4" s="25">
        <f>IF(B4&gt;0,ROUND(AVERAGEIF('2. Data - Literacy Tests'!$A:$A,A4,'2. Data - Literacy Tests'!$D:$D),0),"")</f>
        <v>74</v>
      </c>
      <c r="D4" s="25" t="str">
        <f t="shared" si="1"/>
        <v>Valid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4" t="s">
        <v>93</v>
      </c>
      <c r="B5" s="25">
        <f>COUNTIF('2. Data - Literacy Tests'!$A:$A,A5)</f>
        <v>3</v>
      </c>
      <c r="C5" s="25">
        <f>IF(B5&gt;0,ROUND(AVERAGEIF('2. Data - Literacy Tests'!$A:$A,A5,'2. Data - Literacy Tests'!$D:$D),0),"")</f>
        <v>73</v>
      </c>
      <c r="D5" s="25" t="str">
        <f t="shared" si="1"/>
        <v>Valid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4" t="s">
        <v>95</v>
      </c>
      <c r="B6" s="25">
        <f>COUNTIF('2. Data - Literacy Tests'!$A:$A,A6)</f>
        <v>5</v>
      </c>
      <c r="C6" s="25">
        <f>IF(B6&gt;0,ROUND(AVERAGEIF('2. Data - Literacy Tests'!$A:$A,A6,'2. Data - Literacy Tests'!$D:$D),0),"")</f>
        <v>74</v>
      </c>
      <c r="D6" s="25" t="str">
        <f t="shared" si="1"/>
        <v>Valid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4" t="s">
        <v>97</v>
      </c>
      <c r="B7" s="25">
        <f>COUNTIF('2. Data - Literacy Tests'!$A:$A,A7)</f>
        <v>5</v>
      </c>
      <c r="C7" s="25">
        <f>IF(B7&gt;0,ROUND(AVERAGEIF('2. Data - Literacy Tests'!$A:$A,A7,'2. Data - Literacy Tests'!$D:$D),0),"")</f>
        <v>72</v>
      </c>
      <c r="D7" s="25" t="str">
        <f t="shared" si="1"/>
        <v>Valid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4" t="s">
        <v>98</v>
      </c>
      <c r="B8" s="25">
        <f>COUNTIF('2. Data - Literacy Tests'!$A:$A,A8)</f>
        <v>3</v>
      </c>
      <c r="C8" s="25">
        <f>IF(B8&gt;0,ROUND(AVERAGEIF('2. Data - Literacy Tests'!$A:$A,A8,'2. Data - Literacy Tests'!$D:$D),0),"")</f>
        <v>77</v>
      </c>
      <c r="D8" s="25" t="str">
        <f t="shared" si="1"/>
        <v>Valid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4" t="s">
        <v>101</v>
      </c>
      <c r="B9" s="25">
        <f>COUNTIF('2. Data - Literacy Tests'!$A:$A,A9)</f>
        <v>3</v>
      </c>
      <c r="C9" s="25">
        <f>IF(B9&gt;0,ROUND(AVERAGEIF('2. Data - Literacy Tests'!$A:$A,A9,'2. Data - Literacy Tests'!$D:$D),0),"")</f>
        <v>60</v>
      </c>
      <c r="D9" s="25" t="str">
        <f t="shared" si="1"/>
        <v>Valid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4" t="s">
        <v>104</v>
      </c>
      <c r="B10" s="25">
        <f>COUNTIF('2. Data - Literacy Tests'!$A:$A,A10)</f>
        <v>3</v>
      </c>
      <c r="C10" s="25">
        <f>IF(B10&gt;0,ROUND(AVERAGEIF('2. Data - Literacy Tests'!$A:$A,A10,'2. Data - Literacy Tests'!$D:$D),0),"")</f>
        <v>67</v>
      </c>
      <c r="D10" s="25" t="str">
        <f t="shared" si="1"/>
        <v>Valid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4" t="s">
        <v>106</v>
      </c>
      <c r="B11" s="25">
        <f>COUNTIF('2. Data - Literacy Tests'!$A:$A,A11)</f>
        <v>2</v>
      </c>
      <c r="C11" s="25">
        <f>IF(B11&gt;0,ROUND(AVERAGEIF('2. Data - Literacy Tests'!$A:$A,A11,'2. Data - Literacy Tests'!$D:$D),0),"")</f>
        <v>55</v>
      </c>
      <c r="D11" s="25" t="str">
        <f t="shared" si="1"/>
        <v>Indicative (n&lt;3)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4" t="s">
        <v>107</v>
      </c>
      <c r="B12" s="25">
        <f>COUNTIF('2. Data - Literacy Tests'!$A:$A,A12)</f>
        <v>3</v>
      </c>
      <c r="C12" s="25">
        <f>IF(B12&gt;0,ROUND(AVERAGEIF('2. Data - Literacy Tests'!$A:$A,A12,'2. Data - Literacy Tests'!$D:$D),0),"")</f>
        <v>63</v>
      </c>
      <c r="D12" s="25" t="str">
        <f t="shared" si="1"/>
        <v>Valid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4" t="s">
        <v>110</v>
      </c>
      <c r="B13" s="25">
        <f>COUNTIF('2. Data - Literacy Tests'!$A:$A,A13)</f>
        <v>5</v>
      </c>
      <c r="C13" s="25">
        <f>IF(B13&gt;0,ROUND(AVERAGEIF('2. Data - Literacy Tests'!$A:$A,A13,'2. Data - Literacy Tests'!$D:$D),0),"")</f>
        <v>64</v>
      </c>
      <c r="D13" s="25" t="str">
        <f t="shared" si="1"/>
        <v>Valid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4" t="s">
        <v>113</v>
      </c>
      <c r="B14" s="25">
        <f>COUNTIF('2. Data - Literacy Tests'!$A:$A,A14)</f>
        <v>6</v>
      </c>
      <c r="C14" s="25">
        <f>IF(B14&gt;0,ROUND(AVERAGEIF('2. Data - Literacy Tests'!$A:$A,A14,'2. Data - Literacy Tests'!$D:$D),0),"")</f>
        <v>80</v>
      </c>
      <c r="D14" s="25" t="str">
        <f t="shared" si="1"/>
        <v>Valid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4" t="s">
        <v>115</v>
      </c>
      <c r="B15" s="25">
        <f>COUNTIF('2. Data - Literacy Tests'!$A:$A,A15)</f>
        <v>5</v>
      </c>
      <c r="C15" s="25">
        <f>IF(B15&gt;0,ROUND(AVERAGEIF('2. Data - Literacy Tests'!$A:$A,A15,'2. Data - Literacy Tests'!$D:$D),0),"")</f>
        <v>58</v>
      </c>
      <c r="D15" s="25" t="str">
        <f t="shared" si="1"/>
        <v>Valid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4" t="s">
        <v>116</v>
      </c>
      <c r="B16" s="25">
        <f>COUNTIF('2. Data - Literacy Tests'!$A:$A,A16)</f>
        <v>2</v>
      </c>
      <c r="C16" s="25">
        <f>IF(B16&gt;0,ROUND(AVERAGEIF('2. Data - Literacy Tests'!$A:$A,A16,'2. Data - Literacy Tests'!$D:$D),0),"")</f>
        <v>60</v>
      </c>
      <c r="D16" s="25" t="str">
        <f t="shared" si="1"/>
        <v>Indicative (n&lt;3)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4" t="s">
        <v>118</v>
      </c>
      <c r="B17" s="25">
        <f>COUNTIF('2. Data - Literacy Tests'!$A:$A,A17)</f>
        <v>5</v>
      </c>
      <c r="C17" s="25">
        <f>IF(B17&gt;0,ROUND(AVERAGEIF('2. Data - Literacy Tests'!$A:$A,A17,'2. Data - Literacy Tests'!$D:$D),0),"")</f>
        <v>66</v>
      </c>
      <c r="D17" s="25" t="str">
        <f t="shared" si="1"/>
        <v>Valid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4" t="s">
        <v>122</v>
      </c>
      <c r="B18" s="25">
        <f>COUNTIF('2. Data - Literacy Tests'!$A:$A,A18)</f>
        <v>3</v>
      </c>
      <c r="C18" s="25">
        <f>IF(B18&gt;0,ROUND(AVERAGEIF('2. Data - Literacy Tests'!$A:$A,A18,'2. Data - Literacy Tests'!$D:$D),0),"")</f>
        <v>73</v>
      </c>
      <c r="D18" s="25" t="str">
        <f t="shared" si="1"/>
        <v>Valid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4" t="s">
        <v>124</v>
      </c>
      <c r="B19" s="25">
        <f>COUNTIF('2. Data - Literacy Tests'!$A:$A,A19)</f>
        <v>5</v>
      </c>
      <c r="C19" s="25">
        <f>IF(B19&gt;0,ROUND(AVERAGEIF('2. Data - Literacy Tests'!$A:$A,A19,'2. Data - Literacy Tests'!$D:$D),0),"")</f>
        <v>56</v>
      </c>
      <c r="D19" s="25" t="str">
        <f t="shared" si="1"/>
        <v>Valid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4" t="s">
        <v>128</v>
      </c>
      <c r="B20" s="25">
        <f>COUNTIF('2. Data - Literacy Tests'!$A:$A,A20)</f>
        <v>7</v>
      </c>
      <c r="C20" s="25">
        <f>IF(B20&gt;0,ROUND(AVERAGEIF('2. Data - Literacy Tests'!$A:$A,A20,'2. Data - Literacy Tests'!$D:$D),0),"")</f>
        <v>79</v>
      </c>
      <c r="D20" s="25" t="str">
        <f t="shared" si="1"/>
        <v>Valid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4" t="s">
        <v>131</v>
      </c>
      <c r="B21" s="25">
        <f>COUNTIF('2. Data - Literacy Tests'!$A:$A,A21)</f>
        <v>5</v>
      </c>
      <c r="C21" s="25">
        <f>IF(B21&gt;0,ROUND(AVERAGEIF('2. Data - Literacy Tests'!$A:$A,A21,'2. Data - Literacy Tests'!$D:$D),0),"")</f>
        <v>82</v>
      </c>
      <c r="D21" s="25" t="str">
        <f t="shared" si="1"/>
        <v>Valid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4" t="s">
        <v>132</v>
      </c>
      <c r="B22" s="25">
        <f>COUNTIF('2. Data - Literacy Tests'!$A:$A,A22)</f>
        <v>6</v>
      </c>
      <c r="C22" s="25">
        <f>IF(B22&gt;0,ROUND(AVERAGEIF('2. Data - Literacy Tests'!$A:$A,A22,'2. Data - Literacy Tests'!$D:$D),0),"")</f>
        <v>73</v>
      </c>
      <c r="D22" s="25" t="str">
        <f t="shared" si="1"/>
        <v>Valid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4" t="s">
        <v>133</v>
      </c>
      <c r="B23" s="25">
        <f>COUNTIF('2. Data - Literacy Tests'!$A:$A,A23)</f>
        <v>5</v>
      </c>
      <c r="C23" s="25">
        <f>IF(B23&gt;0,ROUND(AVERAGEIF('2. Data - Literacy Tests'!$A:$A,A23,'2. Data - Literacy Tests'!$D:$D),0),"")</f>
        <v>66</v>
      </c>
      <c r="D23" s="25" t="str">
        <f t="shared" si="1"/>
        <v>Valid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4" t="s">
        <v>134</v>
      </c>
      <c r="B24" s="25">
        <f>COUNTIF('2. Data - Literacy Tests'!$A:$A,A24)</f>
        <v>5</v>
      </c>
      <c r="C24" s="25">
        <f>IF(B24&gt;0,ROUND(AVERAGEIF('2. Data - Literacy Tests'!$A:$A,A24,'2. Data - Literacy Tests'!$D:$D),0),"")</f>
        <v>76</v>
      </c>
      <c r="D24" s="25" t="str">
        <f t="shared" si="1"/>
        <v>Valid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4" t="s">
        <v>135</v>
      </c>
      <c r="B25" s="25">
        <f>COUNTIF('2. Data - Literacy Tests'!$A:$A,A25)</f>
        <v>3</v>
      </c>
      <c r="C25" s="25">
        <f>IF(B25&gt;0,ROUND(AVERAGEIF('2. Data - Literacy Tests'!$A:$A,A25,'2. Data - Literacy Tests'!$D:$D),0),"")</f>
        <v>73</v>
      </c>
      <c r="D25" s="25" t="str">
        <f t="shared" si="1"/>
        <v>Valid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4" t="s">
        <v>136</v>
      </c>
      <c r="B26" s="25">
        <f>COUNTIF('2. Data - Literacy Tests'!$A:$A,A26)</f>
        <v>4</v>
      </c>
      <c r="C26" s="25">
        <f>IF(B26&gt;0,ROUND(AVERAGEIF('2. Data - Literacy Tests'!$A:$A,A26,'2. Data - Literacy Tests'!$D:$D),0),"")</f>
        <v>65</v>
      </c>
      <c r="D26" s="25" t="str">
        <f t="shared" si="1"/>
        <v>Valid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4" t="s">
        <v>137</v>
      </c>
      <c r="B27" s="25">
        <f>COUNTIF('2. Data - Literacy Tests'!$A:$A,A27)</f>
        <v>5</v>
      </c>
      <c r="C27" s="25">
        <f>IF(B27&gt;0,ROUND(AVERAGEIF('2. Data - Literacy Tests'!$A:$A,A27,'2. Data - Literacy Tests'!$D:$D),0),"")</f>
        <v>66</v>
      </c>
      <c r="D27" s="25" t="str">
        <f t="shared" si="1"/>
        <v>Valid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4" t="s">
        <v>138</v>
      </c>
      <c r="B28" s="25">
        <f>COUNTIF('2. Data - Literacy Tests'!$A:$A,A28)</f>
        <v>5</v>
      </c>
      <c r="C28" s="25">
        <f>IF(B28&gt;0,ROUND(AVERAGEIF('2. Data - Literacy Tests'!$A:$A,A28,'2. Data - Literacy Tests'!$D:$D),0),"")</f>
        <v>78</v>
      </c>
      <c r="D28" s="25" t="str">
        <f t="shared" si="1"/>
        <v>Valid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4" t="s">
        <v>140</v>
      </c>
      <c r="B29" s="25">
        <f>COUNTIF('2. Data - Literacy Tests'!$A:$A,A29)</f>
        <v>3</v>
      </c>
      <c r="C29" s="25">
        <f>IF(B29&gt;0,ROUND(AVERAGEIF('2. Data - Literacy Tests'!$A:$A,A29,'2. Data - Literacy Tests'!$D:$D),0),"")</f>
        <v>73</v>
      </c>
      <c r="D29" s="25" t="str">
        <f t="shared" si="1"/>
        <v>Valid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4" t="s">
        <v>141</v>
      </c>
      <c r="B30" s="25">
        <f>COUNTIF('2. Data - Literacy Tests'!$A:$A,A30)</f>
        <v>5</v>
      </c>
      <c r="C30" s="25">
        <f>IF(B30&gt;0,ROUND(AVERAGEIF('2. Data - Literacy Tests'!$A:$A,A30,'2. Data - Literacy Tests'!$D:$D),0),"")</f>
        <v>62</v>
      </c>
      <c r="D30" s="25" t="str">
        <f t="shared" si="1"/>
        <v>Valid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4" t="s">
        <v>144</v>
      </c>
      <c r="B31" s="25">
        <f>COUNTIF('2. Data - Literacy Tests'!$A:$A,A31)</f>
        <v>5</v>
      </c>
      <c r="C31" s="25">
        <f>IF(B31&gt;0,ROUND(AVERAGEIF('2. Data - Literacy Tests'!$A:$A,A31,'2. Data - Literacy Tests'!$D:$D),0),"")</f>
        <v>66</v>
      </c>
      <c r="D31" s="25" t="str">
        <f t="shared" si="1"/>
        <v>Valid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4" t="s">
        <v>145</v>
      </c>
      <c r="B32" s="25">
        <f>COUNTIF('2. Data - Literacy Tests'!$A:$A,A32)</f>
        <v>6</v>
      </c>
      <c r="C32" s="25">
        <f>IF(B32&gt;0,ROUND(AVERAGEIF('2. Data - Literacy Tests'!$A:$A,A32,'2. Data - Literacy Tests'!$D:$D),0),"")</f>
        <v>72</v>
      </c>
      <c r="D32" s="25" t="str">
        <f t="shared" si="1"/>
        <v>Valid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4" t="s">
        <v>146</v>
      </c>
      <c r="B33" s="25">
        <f>COUNTIF('2. Data - Literacy Tests'!$A:$A,A33)</f>
        <v>5</v>
      </c>
      <c r="C33" s="25">
        <f>IF(B33&gt;0,ROUND(AVERAGEIF('2. Data - Literacy Tests'!$A:$A,A33,'2. Data - Literacy Tests'!$D:$D),0),"")</f>
        <v>66</v>
      </c>
      <c r="D33" s="25" t="str">
        <f t="shared" si="1"/>
        <v>Valid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4" t="s">
        <v>147</v>
      </c>
      <c r="B34" s="25">
        <f>COUNTIF('2. Data - Literacy Tests'!$A:$A,A34)</f>
        <v>5</v>
      </c>
      <c r="C34" s="25">
        <f>IF(B34&gt;0,ROUND(AVERAGEIF('2. Data - Literacy Tests'!$A:$A,A34,'2. Data - Literacy Tests'!$D:$D),0),"")</f>
        <v>78</v>
      </c>
      <c r="D34" s="25" t="str">
        <f t="shared" si="1"/>
        <v>Valid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4" t="s">
        <v>148</v>
      </c>
      <c r="B35" s="25">
        <f>COUNTIF('2. Data - Literacy Tests'!$A:$A,A35)</f>
        <v>5</v>
      </c>
      <c r="C35" s="25">
        <f>IF(B35&gt;0,ROUND(AVERAGEIF('2. Data - Literacy Tests'!$A:$A,A35,'2. Data - Literacy Tests'!$D:$D),0),"")</f>
        <v>66</v>
      </c>
      <c r="D35" s="25" t="str">
        <f t="shared" si="1"/>
        <v>Valid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4" t="s">
        <v>149</v>
      </c>
      <c r="B36" s="25">
        <f>COUNTIF('2. Data - Literacy Tests'!$A:$A,A36)</f>
        <v>2</v>
      </c>
      <c r="C36" s="25">
        <f>IF(B36&gt;0,ROUND(AVERAGEIF('2. Data - Literacy Tests'!$A:$A,A36,'2. Data - Literacy Tests'!$D:$D),0),"")</f>
        <v>45</v>
      </c>
      <c r="D36" s="25" t="str">
        <f t="shared" si="1"/>
        <v>Indicative (n&lt;3)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4" t="s">
        <v>150</v>
      </c>
      <c r="B37" s="25">
        <f>COUNTIF('2. Data - Literacy Tests'!$A:$A,A37)</f>
        <v>5</v>
      </c>
      <c r="C37" s="25">
        <f>IF(B37&gt;0,ROUND(AVERAGEIF('2. Data - Literacy Tests'!$A:$A,A37,'2. Data - Literacy Tests'!$D:$D),0),"")</f>
        <v>84</v>
      </c>
      <c r="D37" s="25" t="str">
        <f t="shared" si="1"/>
        <v>Valid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4" t="s">
        <v>151</v>
      </c>
      <c r="B38" s="25">
        <f>COUNTIF('2. Data - Literacy Tests'!$A:$A,A38)</f>
        <v>6</v>
      </c>
      <c r="C38" s="25">
        <f>IF(B38&gt;0,ROUND(AVERAGEIF('2. Data - Literacy Tests'!$A:$A,A38,'2. Data - Literacy Tests'!$D:$D),0),"")</f>
        <v>73</v>
      </c>
      <c r="D38" s="25" t="str">
        <f t="shared" si="1"/>
        <v>Valid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18.0"/>
    <col customWidth="1" min="4" max="4" width="16.0"/>
    <col customWidth="1" min="5" max="26" width="8.71"/>
  </cols>
  <sheetData>
    <row r="1">
      <c r="A1" s="16" t="s">
        <v>39</v>
      </c>
      <c r="B1" s="16" t="s">
        <v>210</v>
      </c>
      <c r="C1" s="16" t="s">
        <v>211</v>
      </c>
      <c r="D1" s="16" t="s">
        <v>209</v>
      </c>
    </row>
    <row r="2">
      <c r="A2" s="24" t="s">
        <v>67</v>
      </c>
      <c r="B2" s="25">
        <f>COUNTIF('3. Data - Staff Sentiment'!$A:$A,A2)</f>
        <v>5</v>
      </c>
      <c r="C2" s="25">
        <f>IF(B2&gt;0,ROUND(AVERAGEIF('3. Data - Staff Sentiment'!$A:$A,A2,'3. Data - Staff Sentiment'!$D:$D),1),"")</f>
        <v>10</v>
      </c>
      <c r="D2" s="25" t="str">
        <f t="shared" ref="D2:D38" si="1">IF(B2&gt;=3,"Valid","Indicative (n&lt;3)")</f>
        <v>Valid</v>
      </c>
    </row>
    <row r="3">
      <c r="A3" s="24" t="s">
        <v>83</v>
      </c>
      <c r="B3" s="25">
        <f>COUNTIF('3. Data - Staff Sentiment'!$A:$A,A3)</f>
        <v>5</v>
      </c>
      <c r="C3" s="25">
        <f>IF(B3&gt;0,ROUND(AVERAGEIF('3. Data - Staff Sentiment'!$A:$A,A3,'3. Data - Staff Sentiment'!$D:$D),1),"")</f>
        <v>9.8</v>
      </c>
      <c r="D3" s="25" t="str">
        <f t="shared" si="1"/>
        <v>Valid</v>
      </c>
    </row>
    <row r="4">
      <c r="A4" s="24" t="s">
        <v>89</v>
      </c>
      <c r="B4" s="25">
        <f>COUNTIF('3. Data - Staff Sentiment'!$A:$A,A4)</f>
        <v>5</v>
      </c>
      <c r="C4" s="25">
        <f>IF(B4&gt;0,ROUND(AVERAGEIF('3. Data - Staff Sentiment'!$A:$A,A4,'3. Data - Staff Sentiment'!$D:$D),1),"")</f>
        <v>9.6</v>
      </c>
      <c r="D4" s="25" t="str">
        <f t="shared" si="1"/>
        <v>Valid</v>
      </c>
    </row>
    <row r="5">
      <c r="A5" s="24" t="s">
        <v>93</v>
      </c>
      <c r="B5" s="25">
        <f>COUNTIF('3. Data - Staff Sentiment'!$A:$A,A5)</f>
        <v>6</v>
      </c>
      <c r="C5" s="25">
        <f>IF(B5&gt;0,ROUND(AVERAGEIF('3. Data - Staff Sentiment'!$A:$A,A5,'3. Data - Staff Sentiment'!$D:$D),1),"")</f>
        <v>6.5</v>
      </c>
      <c r="D5" s="25" t="str">
        <f t="shared" si="1"/>
        <v>Valid</v>
      </c>
    </row>
    <row r="6">
      <c r="A6" s="24" t="s">
        <v>95</v>
      </c>
      <c r="B6" s="25">
        <f>COUNTIF('3. Data - Staff Sentiment'!$A:$A,A6)</f>
        <v>5</v>
      </c>
      <c r="C6" s="25">
        <f>IF(B6&gt;0,ROUND(AVERAGEIF('3. Data - Staff Sentiment'!$A:$A,A6,'3. Data - Staff Sentiment'!$D:$D),1),"")</f>
        <v>9.8</v>
      </c>
      <c r="D6" s="25" t="str">
        <f t="shared" si="1"/>
        <v>Valid</v>
      </c>
    </row>
    <row r="7">
      <c r="A7" s="24" t="s">
        <v>97</v>
      </c>
      <c r="B7" s="25">
        <f>COUNTIF('3. Data - Staff Sentiment'!$A:$A,A7)</f>
        <v>5</v>
      </c>
      <c r="C7" s="25">
        <f>IF(B7&gt;0,ROUND(AVERAGEIF('3. Data - Staff Sentiment'!$A:$A,A7,'3. Data - Staff Sentiment'!$D:$D),1),"")</f>
        <v>5</v>
      </c>
      <c r="D7" s="25" t="str">
        <f t="shared" si="1"/>
        <v>Valid</v>
      </c>
    </row>
    <row r="8">
      <c r="A8" s="24" t="s">
        <v>98</v>
      </c>
      <c r="B8" s="25">
        <f>COUNTIF('3. Data - Staff Sentiment'!$A:$A,A8)</f>
        <v>4</v>
      </c>
      <c r="C8" s="25">
        <f>IF(B8&gt;0,ROUND(AVERAGEIF('3. Data - Staff Sentiment'!$A:$A,A8,'3. Data - Staff Sentiment'!$D:$D),1),"")</f>
        <v>6</v>
      </c>
      <c r="D8" s="25" t="str">
        <f t="shared" si="1"/>
        <v>Valid</v>
      </c>
    </row>
    <row r="9">
      <c r="A9" s="24" t="s">
        <v>101</v>
      </c>
      <c r="B9" s="25">
        <f>COUNTIF('3. Data - Staff Sentiment'!$A:$A,A9)</f>
        <v>9</v>
      </c>
      <c r="C9" s="25">
        <f>IF(B9&gt;0,ROUND(AVERAGEIF('3. Data - Staff Sentiment'!$A:$A,A9,'3. Data - Staff Sentiment'!$D:$D),1),"")</f>
        <v>5.3</v>
      </c>
      <c r="D9" s="25" t="str">
        <f t="shared" si="1"/>
        <v>Valid</v>
      </c>
    </row>
    <row r="10">
      <c r="A10" s="24" t="s">
        <v>104</v>
      </c>
      <c r="B10" s="25">
        <f>COUNTIF('3. Data - Staff Sentiment'!$A:$A,A10)</f>
        <v>6</v>
      </c>
      <c r="C10" s="25">
        <f>IF(B10&gt;0,ROUND(AVERAGEIF('3. Data - Staff Sentiment'!$A:$A,A10,'3. Data - Staff Sentiment'!$D:$D),1),"")</f>
        <v>7.3</v>
      </c>
      <c r="D10" s="25" t="str">
        <f t="shared" si="1"/>
        <v>Valid</v>
      </c>
    </row>
    <row r="11">
      <c r="A11" s="24" t="s">
        <v>106</v>
      </c>
      <c r="B11" s="25">
        <f>COUNTIF('3. Data - Staff Sentiment'!$A:$A,A11)</f>
        <v>4</v>
      </c>
      <c r="C11" s="25">
        <f>IF(B11&gt;0,ROUND(AVERAGEIF('3. Data - Staff Sentiment'!$A:$A,A11,'3. Data - Staff Sentiment'!$D:$D),1),"")</f>
        <v>8.8</v>
      </c>
      <c r="D11" s="25" t="str">
        <f t="shared" si="1"/>
        <v>Valid</v>
      </c>
    </row>
    <row r="12">
      <c r="A12" s="24" t="s">
        <v>107</v>
      </c>
      <c r="B12" s="25">
        <f>COUNTIF('3. Data - Staff Sentiment'!$A:$A,A12)</f>
        <v>4</v>
      </c>
      <c r="C12" s="25">
        <f>IF(B12&gt;0,ROUND(AVERAGEIF('3. Data - Staff Sentiment'!$A:$A,A12,'3. Data - Staff Sentiment'!$D:$D),1),"")</f>
        <v>9.8</v>
      </c>
      <c r="D12" s="25" t="str">
        <f t="shared" si="1"/>
        <v>Valid</v>
      </c>
    </row>
    <row r="13">
      <c r="A13" s="24" t="s">
        <v>110</v>
      </c>
      <c r="B13" s="25">
        <f>COUNTIF('3. Data - Staff Sentiment'!$A:$A,A13)</f>
        <v>5</v>
      </c>
      <c r="C13" s="25">
        <f>IF(B13&gt;0,ROUND(AVERAGEIF('3. Data - Staff Sentiment'!$A:$A,A13,'3. Data - Staff Sentiment'!$D:$D),1),"")</f>
        <v>10</v>
      </c>
      <c r="D13" s="25" t="str">
        <f t="shared" si="1"/>
        <v>Valid</v>
      </c>
    </row>
    <row r="14">
      <c r="A14" s="24" t="s">
        <v>113</v>
      </c>
      <c r="B14" s="25">
        <f>COUNTIF('3. Data - Staff Sentiment'!$A:$A,A14)</f>
        <v>5</v>
      </c>
      <c r="C14" s="25">
        <f>IF(B14&gt;0,ROUND(AVERAGEIF('3. Data - Staff Sentiment'!$A:$A,A14,'3. Data - Staff Sentiment'!$D:$D),1),"")</f>
        <v>8.8</v>
      </c>
      <c r="D14" s="25" t="str">
        <f t="shared" si="1"/>
        <v>Valid</v>
      </c>
    </row>
    <row r="15">
      <c r="A15" s="24" t="s">
        <v>115</v>
      </c>
      <c r="B15" s="25">
        <f>COUNTIF('3. Data - Staff Sentiment'!$A:$A,A15)</f>
        <v>5</v>
      </c>
      <c r="C15" s="25">
        <f>IF(B15&gt;0,ROUND(AVERAGEIF('3. Data - Staff Sentiment'!$A:$A,A15,'3. Data - Staff Sentiment'!$D:$D),1),"")</f>
        <v>6.8</v>
      </c>
      <c r="D15" s="25" t="str">
        <f t="shared" si="1"/>
        <v>Valid</v>
      </c>
    </row>
    <row r="16">
      <c r="A16" s="24" t="s">
        <v>116</v>
      </c>
      <c r="B16" s="25">
        <f>COUNTIF('3. Data - Staff Sentiment'!$A:$A,A16)</f>
        <v>5</v>
      </c>
      <c r="C16" s="25">
        <f>IF(B16&gt;0,ROUND(AVERAGEIF('3. Data - Staff Sentiment'!$A:$A,A16,'3. Data - Staff Sentiment'!$D:$D),1),"")</f>
        <v>6.2</v>
      </c>
      <c r="D16" s="25" t="str">
        <f t="shared" si="1"/>
        <v>Valid</v>
      </c>
    </row>
    <row r="17">
      <c r="A17" s="24" t="s">
        <v>118</v>
      </c>
      <c r="B17" s="25">
        <f>COUNTIF('3. Data - Staff Sentiment'!$A:$A,A17)</f>
        <v>5</v>
      </c>
      <c r="C17" s="25">
        <f>IF(B17&gt;0,ROUND(AVERAGEIF('3. Data - Staff Sentiment'!$A:$A,A17,'3. Data - Staff Sentiment'!$D:$D),1),"")</f>
        <v>7.6</v>
      </c>
      <c r="D17" s="25" t="str">
        <f t="shared" si="1"/>
        <v>Valid</v>
      </c>
    </row>
    <row r="18">
      <c r="A18" s="24" t="s">
        <v>122</v>
      </c>
      <c r="B18" s="25">
        <f>COUNTIF('3. Data - Staff Sentiment'!$A:$A,A18)</f>
        <v>5</v>
      </c>
      <c r="C18" s="25">
        <f>IF(B18&gt;0,ROUND(AVERAGEIF('3. Data - Staff Sentiment'!$A:$A,A18,'3. Data - Staff Sentiment'!$D:$D),1),"")</f>
        <v>9</v>
      </c>
      <c r="D18" s="25" t="str">
        <f t="shared" si="1"/>
        <v>Valid</v>
      </c>
    </row>
    <row r="19">
      <c r="A19" s="24" t="s">
        <v>124</v>
      </c>
      <c r="B19" s="25">
        <f>COUNTIF('3. Data - Staff Sentiment'!$A:$A,A19)</f>
        <v>5</v>
      </c>
      <c r="C19" s="25">
        <f>IF(B19&gt;0,ROUND(AVERAGEIF('3. Data - Staff Sentiment'!$A:$A,A19,'3. Data - Staff Sentiment'!$D:$D),1),"")</f>
        <v>8.2</v>
      </c>
      <c r="D19" s="25" t="str">
        <f t="shared" si="1"/>
        <v>Valid</v>
      </c>
    </row>
    <row r="20">
      <c r="A20" s="24" t="s">
        <v>128</v>
      </c>
      <c r="B20" s="25">
        <f>COUNTIF('3. Data - Staff Sentiment'!$A:$A,A20)</f>
        <v>4</v>
      </c>
      <c r="C20" s="25">
        <f>IF(B20&gt;0,ROUND(AVERAGEIF('3. Data - Staff Sentiment'!$A:$A,A20,'3. Data - Staff Sentiment'!$D:$D),1),"")</f>
        <v>7.3</v>
      </c>
      <c r="D20" s="25" t="str">
        <f t="shared" si="1"/>
        <v>Valid</v>
      </c>
    </row>
    <row r="21" ht="15.75" customHeight="1">
      <c r="A21" s="24" t="s">
        <v>131</v>
      </c>
      <c r="B21" s="25">
        <f>COUNTIF('3. Data - Staff Sentiment'!$A:$A,A21)</f>
        <v>5</v>
      </c>
      <c r="C21" s="25">
        <f>IF(B21&gt;0,ROUND(AVERAGEIF('3. Data - Staff Sentiment'!$A:$A,A21,'3. Data - Staff Sentiment'!$D:$D),1),"")</f>
        <v>10</v>
      </c>
      <c r="D21" s="25" t="str">
        <f t="shared" si="1"/>
        <v>Valid</v>
      </c>
    </row>
    <row r="22" ht="15.75" customHeight="1">
      <c r="A22" s="24" t="s">
        <v>132</v>
      </c>
      <c r="B22" s="25">
        <f>COUNTIF('3. Data - Staff Sentiment'!$A:$A,A22)</f>
        <v>7</v>
      </c>
      <c r="C22" s="25">
        <f>IF(B22&gt;0,ROUND(AVERAGEIF('3. Data - Staff Sentiment'!$A:$A,A22,'3. Data - Staff Sentiment'!$D:$D),1),"")</f>
        <v>9.6</v>
      </c>
      <c r="D22" s="25" t="str">
        <f t="shared" si="1"/>
        <v>Valid</v>
      </c>
    </row>
    <row r="23" ht="15.75" customHeight="1">
      <c r="A23" s="24" t="s">
        <v>133</v>
      </c>
      <c r="B23" s="25">
        <f>COUNTIF('3. Data - Staff Sentiment'!$A:$A,A23)</f>
        <v>5</v>
      </c>
      <c r="C23" s="25">
        <f>IF(B23&gt;0,ROUND(AVERAGEIF('3. Data - Staff Sentiment'!$A:$A,A23,'3. Data - Staff Sentiment'!$D:$D),1),"")</f>
        <v>8.2</v>
      </c>
      <c r="D23" s="25" t="str">
        <f t="shared" si="1"/>
        <v>Valid</v>
      </c>
    </row>
    <row r="24" ht="15.75" customHeight="1">
      <c r="A24" s="24" t="s">
        <v>134</v>
      </c>
      <c r="B24" s="25">
        <f>COUNTIF('3. Data - Staff Sentiment'!$A:$A,A24)</f>
        <v>5</v>
      </c>
      <c r="C24" s="25">
        <f>IF(B24&gt;0,ROUND(AVERAGEIF('3. Data - Staff Sentiment'!$A:$A,A24,'3. Data - Staff Sentiment'!$D:$D),1),"")</f>
        <v>6.2</v>
      </c>
      <c r="D24" s="25" t="str">
        <f t="shared" si="1"/>
        <v>Valid</v>
      </c>
    </row>
    <row r="25" ht="15.75" customHeight="1">
      <c r="A25" s="24" t="s">
        <v>135</v>
      </c>
      <c r="B25" s="25">
        <f>COUNTIF('3. Data - Staff Sentiment'!$A:$A,A25)</f>
        <v>5</v>
      </c>
      <c r="C25" s="25">
        <f>IF(B25&gt;0,ROUND(AVERAGEIF('3. Data - Staff Sentiment'!$A:$A,A25,'3. Data - Staff Sentiment'!$D:$D),1),"")</f>
        <v>7.4</v>
      </c>
      <c r="D25" s="25" t="str">
        <f t="shared" si="1"/>
        <v>Valid</v>
      </c>
    </row>
    <row r="26" ht="15.75" customHeight="1">
      <c r="A26" s="24" t="s">
        <v>136</v>
      </c>
      <c r="B26" s="25">
        <f>COUNTIF('3. Data - Staff Sentiment'!$A:$A,A26)</f>
        <v>5</v>
      </c>
      <c r="C26" s="25">
        <f>IF(B26&gt;0,ROUND(AVERAGEIF('3. Data - Staff Sentiment'!$A:$A,A26,'3. Data - Staff Sentiment'!$D:$D),1),"")</f>
        <v>7.6</v>
      </c>
      <c r="D26" s="25" t="str">
        <f t="shared" si="1"/>
        <v>Valid</v>
      </c>
    </row>
    <row r="27" ht="15.75" customHeight="1">
      <c r="A27" s="24" t="s">
        <v>137</v>
      </c>
      <c r="B27" s="25">
        <f>COUNTIF('3. Data - Staff Sentiment'!$A:$A,A27)</f>
        <v>5</v>
      </c>
      <c r="C27" s="25">
        <f>IF(B27&gt;0,ROUND(AVERAGEIF('3. Data - Staff Sentiment'!$A:$A,A27,'3. Data - Staff Sentiment'!$D:$D),1),"")</f>
        <v>10</v>
      </c>
      <c r="D27" s="25" t="str">
        <f t="shared" si="1"/>
        <v>Valid</v>
      </c>
    </row>
    <row r="28" ht="15.75" customHeight="1">
      <c r="A28" s="24" t="s">
        <v>138</v>
      </c>
      <c r="B28" s="25">
        <f>COUNTIF('3. Data - Staff Sentiment'!$A:$A,A28)</f>
        <v>5</v>
      </c>
      <c r="C28" s="25">
        <f>IF(B28&gt;0,ROUND(AVERAGEIF('3. Data - Staff Sentiment'!$A:$A,A28,'3. Data - Staff Sentiment'!$D:$D),1),"")</f>
        <v>8</v>
      </c>
      <c r="D28" s="25" t="str">
        <f t="shared" si="1"/>
        <v>Valid</v>
      </c>
    </row>
    <row r="29" ht="15.75" customHeight="1">
      <c r="A29" s="24" t="s">
        <v>140</v>
      </c>
      <c r="B29" s="25">
        <f>COUNTIF('3. Data - Staff Sentiment'!$A:$A,A29)</f>
        <v>5</v>
      </c>
      <c r="C29" s="25">
        <f>IF(B29&gt;0,ROUND(AVERAGEIF('3. Data - Staff Sentiment'!$A:$A,A29,'3. Data - Staff Sentiment'!$D:$D),1),"")</f>
        <v>8.4</v>
      </c>
      <c r="D29" s="25" t="str">
        <f t="shared" si="1"/>
        <v>Valid</v>
      </c>
    </row>
    <row r="30" ht="15.75" customHeight="1">
      <c r="A30" s="24" t="s">
        <v>141</v>
      </c>
      <c r="B30" s="25">
        <f>COUNTIF('3. Data - Staff Sentiment'!$A:$A,A30)</f>
        <v>5</v>
      </c>
      <c r="C30" s="25">
        <f>IF(B30&gt;0,ROUND(AVERAGEIF('3. Data - Staff Sentiment'!$A:$A,A30,'3. Data - Staff Sentiment'!$D:$D),1),"")</f>
        <v>7.8</v>
      </c>
      <c r="D30" s="25" t="str">
        <f t="shared" si="1"/>
        <v>Valid</v>
      </c>
    </row>
    <row r="31" ht="15.75" customHeight="1">
      <c r="A31" s="24" t="s">
        <v>144</v>
      </c>
      <c r="B31" s="25">
        <f>COUNTIF('3. Data - Staff Sentiment'!$A:$A,A31)</f>
        <v>3</v>
      </c>
      <c r="C31" s="25">
        <f>IF(B31&gt;0,ROUND(AVERAGEIF('3. Data - Staff Sentiment'!$A:$A,A31,'3. Data - Staff Sentiment'!$D:$D),1),"")</f>
        <v>10</v>
      </c>
      <c r="D31" s="25" t="str">
        <f t="shared" si="1"/>
        <v>Valid</v>
      </c>
    </row>
    <row r="32" ht="15.75" customHeight="1">
      <c r="A32" s="24" t="s">
        <v>145</v>
      </c>
      <c r="B32" s="25">
        <f>COUNTIF('3. Data - Staff Sentiment'!$A:$A,A32)</f>
        <v>5</v>
      </c>
      <c r="C32" s="25">
        <f>IF(B32&gt;0,ROUND(AVERAGEIF('3. Data - Staff Sentiment'!$A:$A,A32,'3. Data - Staff Sentiment'!$D:$D),1),"")</f>
        <v>10</v>
      </c>
      <c r="D32" s="25" t="str">
        <f t="shared" si="1"/>
        <v>Valid</v>
      </c>
    </row>
    <row r="33" ht="15.75" customHeight="1">
      <c r="A33" s="24" t="s">
        <v>146</v>
      </c>
      <c r="B33" s="25">
        <f>COUNTIF('3. Data - Staff Sentiment'!$A:$A,A33)</f>
        <v>5</v>
      </c>
      <c r="C33" s="25">
        <f>IF(B33&gt;0,ROUND(AVERAGEIF('3. Data - Staff Sentiment'!$A:$A,A33,'3. Data - Staff Sentiment'!$D:$D),1),"")</f>
        <v>7.8</v>
      </c>
      <c r="D33" s="25" t="str">
        <f t="shared" si="1"/>
        <v>Valid</v>
      </c>
    </row>
    <row r="34" ht="15.75" customHeight="1">
      <c r="A34" s="24" t="s">
        <v>147</v>
      </c>
      <c r="B34" s="25">
        <f>COUNTIF('3. Data - Staff Sentiment'!$A:$A,A34)</f>
        <v>5</v>
      </c>
      <c r="C34" s="25">
        <f>IF(B34&gt;0,ROUND(AVERAGEIF('3. Data - Staff Sentiment'!$A:$A,A34,'3. Data - Staff Sentiment'!$D:$D),1),"")</f>
        <v>9.2</v>
      </c>
      <c r="D34" s="25" t="str">
        <f t="shared" si="1"/>
        <v>Valid</v>
      </c>
    </row>
    <row r="35" ht="15.75" customHeight="1">
      <c r="A35" s="24" t="s">
        <v>148</v>
      </c>
      <c r="B35" s="25">
        <f>COUNTIF('3. Data - Staff Sentiment'!$A:$A,A35)</f>
        <v>7</v>
      </c>
      <c r="C35" s="25">
        <f>IF(B35&gt;0,ROUND(AVERAGEIF('3. Data - Staff Sentiment'!$A:$A,A35,'3. Data - Staff Sentiment'!$D:$D),1),"")</f>
        <v>8.6</v>
      </c>
      <c r="D35" s="25" t="str">
        <f t="shared" si="1"/>
        <v>Valid</v>
      </c>
    </row>
    <row r="36" ht="15.75" customHeight="1">
      <c r="A36" s="24" t="s">
        <v>149</v>
      </c>
      <c r="B36" s="25">
        <f>COUNTIF('3. Data - Staff Sentiment'!$A:$A,A36)</f>
        <v>3</v>
      </c>
      <c r="C36" s="25">
        <f>IF(B36&gt;0,ROUND(AVERAGEIF('3. Data - Staff Sentiment'!$A:$A,A36,'3. Data - Staff Sentiment'!$D:$D),1),"")</f>
        <v>8.3</v>
      </c>
      <c r="D36" s="25" t="str">
        <f t="shared" si="1"/>
        <v>Valid</v>
      </c>
    </row>
    <row r="37" ht="15.75" customHeight="1">
      <c r="A37" s="24" t="s">
        <v>150</v>
      </c>
      <c r="B37" s="25">
        <f>COUNTIF('3. Data - Staff Sentiment'!$A:$A,A37)</f>
        <v>6</v>
      </c>
      <c r="C37" s="25">
        <f>IF(B37&gt;0,ROUND(AVERAGEIF('3. Data - Staff Sentiment'!$A:$A,A37,'3. Data - Staff Sentiment'!$D:$D),1),"")</f>
        <v>10</v>
      </c>
      <c r="D37" s="25" t="str">
        <f t="shared" si="1"/>
        <v>Valid</v>
      </c>
    </row>
    <row r="38" ht="15.75" customHeight="1">
      <c r="A38" s="24" t="s">
        <v>151</v>
      </c>
      <c r="B38" s="25">
        <f>COUNTIF('3. Data - Staff Sentiment'!$A:$A,A38)</f>
        <v>3</v>
      </c>
      <c r="C38" s="25">
        <f>IF(B38&gt;0,ROUND(AVERAGEIF('3. Data - Staff Sentiment'!$A:$A,A38,'3. Data - Staff Sentiment'!$D:$D),1),"")</f>
        <v>10</v>
      </c>
      <c r="D38" s="25" t="str">
        <f t="shared" si="1"/>
        <v>Valid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2" width="9.0"/>
    <col customWidth="1" min="33" max="33" width="13.0"/>
    <col customWidth="1" min="34" max="46" width="9.0"/>
    <col customWidth="1" min="47" max="47" width="20.14"/>
    <col customWidth="1" min="48" max="48" width="61.86"/>
    <col customWidth="1" min="49" max="51" width="9.0"/>
  </cols>
  <sheetData>
    <row r="1" ht="33.75" customHeight="1">
      <c r="A1" s="26" t="s">
        <v>39</v>
      </c>
      <c r="B1" s="26" t="s">
        <v>40</v>
      </c>
      <c r="C1" s="26" t="s">
        <v>41</v>
      </c>
      <c r="D1" s="27" t="s">
        <v>212</v>
      </c>
      <c r="E1" s="27" t="s">
        <v>213</v>
      </c>
      <c r="F1" s="27" t="s">
        <v>46</v>
      </c>
      <c r="G1" s="27" t="s">
        <v>214</v>
      </c>
      <c r="H1" s="27" t="s">
        <v>215</v>
      </c>
      <c r="I1" s="27" t="s">
        <v>216</v>
      </c>
      <c r="J1" s="27" t="s">
        <v>217</v>
      </c>
      <c r="K1" s="27" t="s">
        <v>218</v>
      </c>
      <c r="L1" s="27" t="s">
        <v>52</v>
      </c>
      <c r="M1" s="27" t="s">
        <v>219</v>
      </c>
      <c r="N1" s="27" t="s">
        <v>54</v>
      </c>
      <c r="O1" s="27" t="s">
        <v>55</v>
      </c>
      <c r="P1" s="27" t="s">
        <v>56</v>
      </c>
      <c r="Q1" s="27" t="s">
        <v>220</v>
      </c>
      <c r="R1" s="27" t="s">
        <v>221</v>
      </c>
      <c r="S1" s="28" t="s">
        <v>222</v>
      </c>
      <c r="T1" s="27" t="s">
        <v>223</v>
      </c>
      <c r="U1" s="27" t="s">
        <v>224</v>
      </c>
      <c r="V1" s="27" t="s">
        <v>62</v>
      </c>
      <c r="W1" s="27" t="s">
        <v>225</v>
      </c>
      <c r="X1" s="27" t="s">
        <v>64</v>
      </c>
      <c r="Y1" s="27" t="s">
        <v>226</v>
      </c>
      <c r="Z1" s="27" t="s">
        <v>227</v>
      </c>
      <c r="AA1" s="29" t="s">
        <v>228</v>
      </c>
      <c r="AB1" s="29" t="s">
        <v>229</v>
      </c>
      <c r="AC1" s="29" t="s">
        <v>230</v>
      </c>
      <c r="AD1" s="29" t="s">
        <v>231</v>
      </c>
      <c r="AE1" s="30" t="s">
        <v>232</v>
      </c>
      <c r="AF1" s="30" t="s">
        <v>233</v>
      </c>
      <c r="AG1" s="30" t="s">
        <v>234</v>
      </c>
      <c r="AH1" s="26" t="s">
        <v>235</v>
      </c>
      <c r="AI1" s="26" t="s">
        <v>236</v>
      </c>
      <c r="AJ1" s="26" t="s">
        <v>237</v>
      </c>
      <c r="AK1" s="26" t="s">
        <v>238</v>
      </c>
      <c r="AL1" s="26" t="s">
        <v>239</v>
      </c>
      <c r="AM1" s="26" t="s">
        <v>240</v>
      </c>
      <c r="AN1" s="31" t="s">
        <v>241</v>
      </c>
      <c r="AO1" s="31" t="s">
        <v>242</v>
      </c>
      <c r="AP1" s="31" t="s">
        <v>243</v>
      </c>
      <c r="AQ1" s="31" t="s">
        <v>244</v>
      </c>
      <c r="AR1" s="31" t="s">
        <v>245</v>
      </c>
      <c r="AS1" s="31" t="s">
        <v>246</v>
      </c>
      <c r="AT1" s="31" t="s">
        <v>247</v>
      </c>
      <c r="AU1" s="31" t="s">
        <v>248</v>
      </c>
      <c r="AV1" s="32" t="s">
        <v>249</v>
      </c>
      <c r="AW1" s="33" t="s">
        <v>250</v>
      </c>
      <c r="AX1" s="33" t="s">
        <v>251</v>
      </c>
      <c r="AY1" s="33" t="s">
        <v>252</v>
      </c>
    </row>
    <row r="2">
      <c r="A2" s="34" t="str">
        <f>'1. Data - Facilities'!A2</f>
        <v>Bahn Health Center</v>
      </c>
      <c r="B2" s="34" t="str">
        <f>'1. Data - Facilities'!B2</f>
        <v>Nimba</v>
      </c>
      <c r="C2" s="34" t="str">
        <f>'1. Data - Facilities'!C2</f>
        <v>Health Center</v>
      </c>
      <c r="D2" s="35" t="str">
        <f>'1. Data - Facilities'!F2</f>
        <v>Grid</v>
      </c>
      <c r="E2" s="35">
        <f>'1. Data - Facilities'!G2</f>
        <v>16</v>
      </c>
      <c r="F2" s="35" t="str">
        <f>'1. Data - Facilities'!H2</f>
        <v/>
      </c>
      <c r="G2" s="35" t="str">
        <f>'1. Data - Facilities'!I2</f>
        <v>Generator only</v>
      </c>
      <c r="H2" s="35" t="str">
        <f>'1. Data - Facilities'!J2</f>
        <v>Starlink</v>
      </c>
      <c r="I2" s="35">
        <f>'1. Data - Facilities'!K2</f>
        <v>195.41</v>
      </c>
      <c r="J2" s="35">
        <f>'1. Data - Facilities'!L2</f>
        <v>16.03</v>
      </c>
      <c r="K2" s="35">
        <f>'1. Data - Facilities'!M2</f>
        <v>99</v>
      </c>
      <c r="L2" s="35" t="str">
        <f>'1. Data - Facilities'!N2</f>
        <v>Low / stable (&lt;80ms)</v>
      </c>
      <c r="M2" s="35" t="str">
        <f>'1. Data - Facilities'!O2</f>
        <v>Weak (-85 to -100 dBm)</v>
      </c>
      <c r="N2" s="35">
        <f>'1. Data - Facilities'!P2</f>
        <v>3</v>
      </c>
      <c r="O2" s="35">
        <f>'1. Data - Facilities'!Q2</f>
        <v>0</v>
      </c>
      <c r="P2" s="35">
        <f>'1. Data - Facilities'!R2</f>
        <v>0</v>
      </c>
      <c r="Q2" s="35">
        <f>'1. Data - Facilities'!S2</f>
        <v>4</v>
      </c>
      <c r="R2" s="35">
        <f>'1. Data - Facilities'!T2</f>
        <v>72</v>
      </c>
      <c r="S2" s="35" t="str">
        <f>'1. Data - Facilities'!U2</f>
        <v>Some Health Centerians</v>
      </c>
      <c r="T2" s="35" t="str">
        <f>'1. Data - Facilities'!V2</f>
        <v>No</v>
      </c>
      <c r="U2" s="35" t="str">
        <f>'1. Data - Facilities'!W2</f>
        <v>Exists but inconsistent usage</v>
      </c>
      <c r="V2" s="35" t="str">
        <f>'1. Data - Facilities'!X2</f>
        <v>Paper only</v>
      </c>
      <c r="W2" s="35" t="str">
        <f>'1. Data - Facilities'!Y2</f>
        <v>&gt;=90% on time</v>
      </c>
      <c r="X2" s="35" t="str">
        <f>'1. Data - Facilities'!Z2</f>
        <v>Yes - routinely</v>
      </c>
      <c r="Y2" s="35" t="str">
        <f>'1. Data - Facilities'!AA2</f>
        <v>Yes - consistently</v>
      </c>
      <c r="Z2" s="35" t="str">
        <f>'1. Data - Facilities'!AB2</f>
        <v>Yes</v>
      </c>
      <c r="AA2" s="36">
        <f>'4. Aggregate - Literacy'!C2</f>
        <v>72</v>
      </c>
      <c r="AB2" s="36">
        <f>'4. Aggregate - Literacy'!B2</f>
        <v>5</v>
      </c>
      <c r="AC2" s="36">
        <f>'5. Aggregate - Sentiment'!C2</f>
        <v>10</v>
      </c>
      <c r="AD2" s="36">
        <f>'5. Aggregate - Sentiment'!B2</f>
        <v>5</v>
      </c>
      <c r="AE2" s="37">
        <f t="shared" ref="AE2:AE38" si="2">IF(AND(AA2&lt;&gt;"",AB2&gt;=3),AA2,R2)</f>
        <v>72</v>
      </c>
      <c r="AF2" s="37">
        <f t="shared" ref="AF2:AF38" si="3">N2+O2+P2</f>
        <v>3</v>
      </c>
      <c r="AG2" s="37" t="str">
        <f t="shared" ref="AG2:AG38" si="4">IF(H2="","Mobile-only",IF(I2="","-",IF(I2&gt;20,"High",IF(I2&gt;=5,"Moderate","Low"))))</f>
        <v>High</v>
      </c>
      <c r="AH2" s="38">
        <f t="shared" ref="AH2:AH38" si="5">IF(OR(D2="",D2="None"),0,IF(AND(OR(D2="Grid",D2="Solar / Inverter"),E2&lt;&gt;"",E2&lt;4,F2="All critical workstations"),3,IF(AND(E2&lt;&gt;"",E2&gt;15,OR(G2="",G2="None")),1,IF(AND(D2="Generator",OR(G2="",G2="None")),1,IF(AND(OR(D2="Grid",D2="Solar / Inverter",D2="Generator"),OR(AND(G2&lt;&gt;"",G2&lt;&gt;"None"),AND(E2&lt;&gt;"",E2&lt;=15))),2,1)))))</f>
        <v>2</v>
      </c>
      <c r="AI2" s="38">
        <f t="shared" ref="AI2:AI38" si="6">IF(AND(H2="",OR(LEFT(M2,4)="None",M2="")),0,IF(AND(H2&lt;&gt;"",I2&lt;&gt;"",I2&lt;2),0,IF(AND(H2&lt;&gt;"",I2&lt;&gt;""),IF(AND(I2&gt;20,J2&lt;&gt;"",J2&gt;10,OR(K2="",K2&gt;=90),ISNUMBER(SEARCH("Low",L2))),3,IF(I2&gt;=5,2,1)),IF(OR(LEFT(M2,5)="Stron",LEFT(M2,4)="Mode"),2,IF(LEFT(M2,4)="Weak",1,1)))))</f>
        <v>3</v>
      </c>
      <c r="AJ2" s="38">
        <f t="shared" ref="AJ2:AJ38" si="7">IF(AND(N2+O2=0,P2=0),0,IF(OR(N2+O2&gt;=3,P2&gt;=5),IF(Q2&gt;0,3,2),IF(OR(N2+O2&gt;=1,P2&gt;=2),2,1)))</f>
        <v>3</v>
      </c>
      <c r="AK2" s="38">
        <f t="shared" ref="AK2:AK38" si="8">IF(AND(ISNUMBER(AE2),AE2&gt;=70,S2&lt;&gt;"Some Clinicians",LEFT(T2,3)="Yes"),3,IF(AND(ISNUMBER(AE2),AE2&gt;=50),2,1))</f>
        <v>2</v>
      </c>
      <c r="AL2" s="38">
        <f t="shared" ref="AL2:AL38" si="9">IF(AND(ISNUMBER(AC2),AC2&gt;=5),2,IF(AND(ISNUMBER(AC2),AC2&gt;=3),1,1))</f>
        <v>2</v>
      </c>
      <c r="AM2" s="38">
        <f t="shared" ref="AM2:AM38" si="10">IF(AND(OR(ISNUMBER(SEARCH("Hybrid",V2)),ISNUMBER(SEARCH("Digital",V2))),ISNUMBER(SEARCH("&gt;=90",W2)),ISNUMBER(SEARCH("routinely",X2))),3,IF(AND(ISNUMBER(SEARCH("Yes",X2)),OR(ISNUMBER(SEARCH("70-89",W2)),ISNUMBER(SEARCH("&gt;=90",W2)))),2,IF(OR(ISNUMBER(SEARCH("Inconsistently",X2)),ISNUMBER(SEARCH("70-89",W2))),2,IF(ISNUMBER(SEARCH("No unique",X2)),1,1))))</f>
        <v>2</v>
      </c>
      <c r="AN2" s="35">
        <f t="shared" ref="AN2:AP2" si="1">IF(AH2=0,1,0)</f>
        <v>0</v>
      </c>
      <c r="AO2" s="35">
        <f t="shared" si="1"/>
        <v>0</v>
      </c>
      <c r="AP2" s="35">
        <f t="shared" si="1"/>
        <v>0</v>
      </c>
      <c r="AQ2" s="35">
        <f t="shared" ref="AQ2:AQ38" si="12">IF(Y2="No",1,0)</f>
        <v>0</v>
      </c>
      <c r="AR2" s="35">
        <f t="shared" ref="AR2:AR38" si="13">IF(AND(T2="No",U2=""),1,0)</f>
        <v>0</v>
      </c>
      <c r="AS2" s="35">
        <f t="shared" ref="AS2:AS38" si="14">IF(Z2&lt;&gt;"Yes",1,0)</f>
        <v>0</v>
      </c>
      <c r="AT2" s="35">
        <f t="shared" ref="AT2:AT38" si="15">SUM(AN2:AS2)</f>
        <v>0</v>
      </c>
      <c r="AU2" s="35" t="str">
        <f t="shared" ref="AU2:AU38" si="16">TRIM(IF(AN2=1,"BLK-01 ","")&amp;IF(AO2=1,"BLK-02 ","")&amp;IF(AP2=1,"BLK-03 ","")&amp;IF(AQ2=1,"BLK-04 ","")&amp;IF(AR2=1,"BLK-05 ","")&amp;IF(AS2=1,"BLK-06 ",""))</f>
        <v/>
      </c>
      <c r="AV2" s="35" t="str">
        <f t="shared" ref="AV2:AV38" si="17">TRIM(IF(AN2=1,"BLK-01: No primary power | ","")&amp;IF(AO2=1,"BLK-02: No connectivity / &lt;2 Mbps | ","")&amp;IF(AP2=1,"BLK-03: Zero computers or tablets | ","")&amp;IF(AQ2=1,"BLK-04: Not reporting to DHIS2 | ","")&amp;IF(AR2=1,"BLK-05: No IT support | ","")&amp;IF(AS2=1,"BLK-06: Not operational | ",""))</f>
        <v/>
      </c>
      <c r="AW2" s="39">
        <f t="shared" ref="AW2:AW38" si="18">ROUND((AH2*22+AI2*18+AJ2*13+AK2*22+AL2*15+AM2*10)/300*100,1)</f>
        <v>77</v>
      </c>
      <c r="AX2" s="39" t="str">
        <f t="shared" ref="AX2:AX38" si="19">IF(AT2&gt;0,"Tier 3",IF(AW2&gt;=75,"Tier 1","Tier 2"))</f>
        <v>Tier 1</v>
      </c>
      <c r="AY2" s="39" t="str">
        <f t="shared" ref="AY2:AY38" si="20">IF(AT2&gt;0,"—",IF(AW2&gt;=75,"Wave 1","Wave 2"))
</f>
        <v>Wave 1</v>
      </c>
    </row>
    <row r="3">
      <c r="A3" s="34" t="str">
        <f>'1. Data - Facilities'!A3</f>
        <v>Barnersville HC</v>
      </c>
      <c r="B3" s="34" t="str">
        <f>'1. Data - Facilities'!B3</f>
        <v>Montserrado</v>
      </c>
      <c r="C3" s="34" t="str">
        <f>'1. Data - Facilities'!C3</f>
        <v>Health Center</v>
      </c>
      <c r="D3" s="35" t="str">
        <f>'1. Data - Facilities'!F3</f>
        <v>Grid</v>
      </c>
      <c r="E3" s="35">
        <f>'1. Data - Facilities'!G3</f>
        <v>3.99</v>
      </c>
      <c r="F3" s="35" t="str">
        <f>'1. Data - Facilities'!H3</f>
        <v>Some workstations</v>
      </c>
      <c r="G3" s="35" t="str">
        <f>'1. Data - Facilities'!I3</f>
        <v>Multiple backup systems (specify below)</v>
      </c>
      <c r="H3" s="35" t="str">
        <f>'1. Data - Facilities'!J3</f>
        <v/>
      </c>
      <c r="I3" s="35" t="str">
        <f>'1. Data - Facilities'!K3</f>
        <v/>
      </c>
      <c r="J3" s="35" t="str">
        <f>'1. Data - Facilities'!L3</f>
        <v/>
      </c>
      <c r="K3" s="35" t="str">
        <f>'1. Data - Facilities'!M3</f>
        <v/>
      </c>
      <c r="L3" s="35" t="str">
        <f>'1. Data - Facilities'!N3</f>
        <v/>
      </c>
      <c r="M3" s="35" t="str">
        <f>'1. Data - Facilities'!O3</f>
        <v>Weak (-85 to -100 dBm)</v>
      </c>
      <c r="N3" s="35">
        <f>'1. Data - Facilities'!P3</f>
        <v>1</v>
      </c>
      <c r="O3" s="35">
        <f>'1. Data - Facilities'!Q3</f>
        <v>1</v>
      </c>
      <c r="P3" s="35">
        <f>'1. Data - Facilities'!R3</f>
        <v>1</v>
      </c>
      <c r="Q3" s="35">
        <f>'1. Data - Facilities'!S3</f>
        <v>1</v>
      </c>
      <c r="R3" s="35">
        <f>'1. Data - Facilities'!T3</f>
        <v>78</v>
      </c>
      <c r="S3" s="35" t="str">
        <f>'1. Data - Facilities'!U3</f>
        <v>No - No Health Centerian</v>
      </c>
      <c r="T3" s="35" t="str">
        <f>'1. Data - Facilities'!V3</f>
        <v>No</v>
      </c>
      <c r="U3" s="35" t="str">
        <f>'1. Data - Facilities'!W3</f>
        <v>Integrated and routine</v>
      </c>
      <c r="V3" s="35" t="str">
        <f>'1. Data - Facilities'!X3</f>
        <v>Paper only</v>
      </c>
      <c r="W3" s="35" t="str">
        <f>'1. Data - Facilities'!Y3</f>
        <v>&gt;=90% on time</v>
      </c>
      <c r="X3" s="35" t="str">
        <f>'1. Data - Facilities'!Z3</f>
        <v>Yes - routinely</v>
      </c>
      <c r="Y3" s="35" t="str">
        <f>'1. Data - Facilities'!AA3</f>
        <v>Yes - consistently</v>
      </c>
      <c r="Z3" s="35" t="str">
        <f>'1. Data - Facilities'!AB3</f>
        <v>Yes</v>
      </c>
      <c r="AA3" s="36">
        <f>'4. Aggregate - Literacy'!C3</f>
        <v>78</v>
      </c>
      <c r="AB3" s="36">
        <f>'4. Aggregate - Literacy'!B3</f>
        <v>5</v>
      </c>
      <c r="AC3" s="36">
        <f>'5. Aggregate - Sentiment'!C3</f>
        <v>9.8</v>
      </c>
      <c r="AD3" s="36">
        <f>'5. Aggregate - Sentiment'!B3</f>
        <v>5</v>
      </c>
      <c r="AE3" s="37">
        <f t="shared" si="2"/>
        <v>78</v>
      </c>
      <c r="AF3" s="37">
        <f t="shared" si="3"/>
        <v>3</v>
      </c>
      <c r="AG3" s="37" t="str">
        <f t="shared" si="4"/>
        <v>Mobile-only</v>
      </c>
      <c r="AH3" s="38">
        <f t="shared" si="5"/>
        <v>2</v>
      </c>
      <c r="AI3" s="38">
        <f t="shared" si="6"/>
        <v>1</v>
      </c>
      <c r="AJ3" s="38">
        <f t="shared" si="7"/>
        <v>2</v>
      </c>
      <c r="AK3" s="38">
        <f t="shared" si="8"/>
        <v>2</v>
      </c>
      <c r="AL3" s="38">
        <f t="shared" si="9"/>
        <v>2</v>
      </c>
      <c r="AM3" s="38">
        <f t="shared" si="10"/>
        <v>2</v>
      </c>
      <c r="AN3" s="35">
        <f t="shared" ref="AN3:AP3" si="11">IF(AH3=0,1,0)</f>
        <v>0</v>
      </c>
      <c r="AO3" s="35">
        <f t="shared" si="11"/>
        <v>0</v>
      </c>
      <c r="AP3" s="35">
        <f t="shared" si="11"/>
        <v>0</v>
      </c>
      <c r="AQ3" s="35">
        <f t="shared" si="12"/>
        <v>0</v>
      </c>
      <c r="AR3" s="35">
        <f t="shared" si="13"/>
        <v>0</v>
      </c>
      <c r="AS3" s="35">
        <f t="shared" si="14"/>
        <v>0</v>
      </c>
      <c r="AT3" s="35">
        <f t="shared" si="15"/>
        <v>0</v>
      </c>
      <c r="AU3" s="35" t="str">
        <f t="shared" si="16"/>
        <v/>
      </c>
      <c r="AV3" s="35" t="str">
        <f t="shared" si="17"/>
        <v/>
      </c>
      <c r="AW3" s="39">
        <f t="shared" si="18"/>
        <v>60.7</v>
      </c>
      <c r="AX3" s="39" t="str">
        <f t="shared" si="19"/>
        <v>Tier 2</v>
      </c>
      <c r="AY3" s="39" t="str">
        <f t="shared" si="20"/>
        <v>Wave 2</v>
      </c>
    </row>
    <row r="4">
      <c r="A4" s="34" t="str">
        <f>'1. Data - Facilities'!A4</f>
        <v>Boegeezay Health Center</v>
      </c>
      <c r="B4" s="34" t="str">
        <f>'1. Data - Facilities'!B4</f>
        <v>River Cess</v>
      </c>
      <c r="C4" s="34" t="str">
        <f>'1. Data - Facilities'!C4</f>
        <v>Health Center</v>
      </c>
      <c r="D4" s="35" t="str">
        <f>'1. Data - Facilities'!F4</f>
        <v>Solar / Inverter</v>
      </c>
      <c r="E4" s="35">
        <f>'1. Data - Facilities'!G4</f>
        <v>24</v>
      </c>
      <c r="F4" s="35" t="str">
        <f>'1. Data - Facilities'!H4</f>
        <v>All critical workstations</v>
      </c>
      <c r="G4" s="35" t="str">
        <f>'1. Data - Facilities'!I4</f>
        <v/>
      </c>
      <c r="H4" s="35" t="str">
        <f>'1. Data - Facilities'!J4</f>
        <v/>
      </c>
      <c r="I4" s="35" t="str">
        <f>'1. Data - Facilities'!K4</f>
        <v/>
      </c>
      <c r="J4" s="35" t="str">
        <f>'1. Data - Facilities'!L4</f>
        <v/>
      </c>
      <c r="K4" s="35" t="str">
        <f>'1. Data - Facilities'!M4</f>
        <v/>
      </c>
      <c r="L4" s="35" t="str">
        <f>'1. Data - Facilities'!N4</f>
        <v/>
      </c>
      <c r="M4" s="35" t="str">
        <f>'1. Data - Facilities'!O4</f>
        <v>Weak (-85 to -100 dBm)</v>
      </c>
      <c r="N4" s="35">
        <f>'1. Data - Facilities'!P4</f>
        <v>1</v>
      </c>
      <c r="O4" s="35">
        <f>'1. Data - Facilities'!Q4</f>
        <v>0</v>
      </c>
      <c r="P4" s="35">
        <f>'1. Data - Facilities'!R4</f>
        <v>1</v>
      </c>
      <c r="Q4" s="35">
        <f>'1. Data - Facilities'!S4</f>
        <v>0</v>
      </c>
      <c r="R4" s="35">
        <f>'1. Data - Facilities'!T4</f>
        <v>74</v>
      </c>
      <c r="S4" s="35" t="str">
        <f>'1. Data - Facilities'!U4</f>
        <v>No - No Health Centerian</v>
      </c>
      <c r="T4" s="35" t="str">
        <f>'1. Data - Facilities'!V4</f>
        <v>No</v>
      </c>
      <c r="U4" s="35" t="str">
        <f>'1. Data - Facilities'!W4</f>
        <v>Integrated and routine</v>
      </c>
      <c r="V4" s="35" t="str">
        <f>'1. Data - Facilities'!X4</f>
        <v>Paper only</v>
      </c>
      <c r="W4" s="35" t="str">
        <f>'1. Data - Facilities'!Y4</f>
        <v>&gt;=90% on time</v>
      </c>
      <c r="X4" s="35" t="str">
        <f>'1. Data - Facilities'!Z4</f>
        <v>Yes - routinely</v>
      </c>
      <c r="Y4" s="35" t="str">
        <f>'1. Data - Facilities'!AA4</f>
        <v>Yes - consistently</v>
      </c>
      <c r="Z4" s="35" t="str">
        <f>'1. Data - Facilities'!AB4</f>
        <v>Yes</v>
      </c>
      <c r="AA4" s="36">
        <f>'4. Aggregate - Literacy'!C4</f>
        <v>74</v>
      </c>
      <c r="AB4" s="36">
        <f>'4. Aggregate - Literacy'!B4</f>
        <v>5</v>
      </c>
      <c r="AC4" s="36">
        <f>'5. Aggregate - Sentiment'!C4</f>
        <v>9.6</v>
      </c>
      <c r="AD4" s="36">
        <f>'5. Aggregate - Sentiment'!B4</f>
        <v>5</v>
      </c>
      <c r="AE4" s="37">
        <f t="shared" si="2"/>
        <v>74</v>
      </c>
      <c r="AF4" s="37">
        <f t="shared" si="3"/>
        <v>2</v>
      </c>
      <c r="AG4" s="37" t="str">
        <f t="shared" si="4"/>
        <v>Mobile-only</v>
      </c>
      <c r="AH4" s="38">
        <f t="shared" si="5"/>
        <v>1</v>
      </c>
      <c r="AI4" s="38">
        <f t="shared" si="6"/>
        <v>1</v>
      </c>
      <c r="AJ4" s="38">
        <f t="shared" si="7"/>
        <v>2</v>
      </c>
      <c r="AK4" s="38">
        <f t="shared" si="8"/>
        <v>2</v>
      </c>
      <c r="AL4" s="38">
        <f t="shared" si="9"/>
        <v>2</v>
      </c>
      <c r="AM4" s="38">
        <f t="shared" si="10"/>
        <v>2</v>
      </c>
      <c r="AN4" s="35">
        <f t="shared" ref="AN4:AP4" si="21">IF(AH4=0,1,0)</f>
        <v>0</v>
      </c>
      <c r="AO4" s="35">
        <f t="shared" si="21"/>
        <v>0</v>
      </c>
      <c r="AP4" s="35">
        <f t="shared" si="21"/>
        <v>0</v>
      </c>
      <c r="AQ4" s="35">
        <f t="shared" si="12"/>
        <v>0</v>
      </c>
      <c r="AR4" s="35">
        <f t="shared" si="13"/>
        <v>0</v>
      </c>
      <c r="AS4" s="35">
        <f t="shared" si="14"/>
        <v>0</v>
      </c>
      <c r="AT4" s="35">
        <f t="shared" si="15"/>
        <v>0</v>
      </c>
      <c r="AU4" s="35" t="str">
        <f t="shared" si="16"/>
        <v/>
      </c>
      <c r="AV4" s="35" t="str">
        <f t="shared" si="17"/>
        <v/>
      </c>
      <c r="AW4" s="39">
        <f t="shared" si="18"/>
        <v>53.3</v>
      </c>
      <c r="AX4" s="39" t="str">
        <f t="shared" si="19"/>
        <v>Tier 2</v>
      </c>
      <c r="AY4" s="39" t="str">
        <f t="shared" si="20"/>
        <v>Wave 2</v>
      </c>
    </row>
    <row r="5">
      <c r="A5" s="34" t="str">
        <f>'1. Data - Facilities'!A5</f>
        <v>Bromely Community Health Center</v>
      </c>
      <c r="B5" s="34" t="str">
        <f>'1. Data - Facilities'!B5</f>
        <v>Montserrado</v>
      </c>
      <c r="C5" s="34" t="str">
        <f>'1. Data - Facilities'!C5</f>
        <v>Health Center</v>
      </c>
      <c r="D5" s="35" t="str">
        <f>'1. Data - Facilities'!F5</f>
        <v/>
      </c>
      <c r="E5" s="35">
        <f>'1. Data - Facilities'!G5</f>
        <v>0</v>
      </c>
      <c r="F5" s="35" t="str">
        <f>'1. Data - Facilities'!H5</f>
        <v/>
      </c>
      <c r="G5" s="35" t="str">
        <f>'1. Data - Facilities'!I5</f>
        <v/>
      </c>
      <c r="H5" s="35" t="str">
        <f>'1. Data - Facilities'!J5</f>
        <v/>
      </c>
      <c r="I5" s="35" t="str">
        <f>'1. Data - Facilities'!K5</f>
        <v/>
      </c>
      <c r="J5" s="35" t="str">
        <f>'1. Data - Facilities'!L5</f>
        <v/>
      </c>
      <c r="K5" s="35" t="str">
        <f>'1. Data - Facilities'!M5</f>
        <v/>
      </c>
      <c r="L5" s="35" t="str">
        <f>'1. Data - Facilities'!N5</f>
        <v/>
      </c>
      <c r="M5" s="35" t="str">
        <f>'1. Data - Facilities'!O5</f>
        <v>Moderate (-70 to -85 dBm)</v>
      </c>
      <c r="N5" s="35">
        <f>'1. Data - Facilities'!P5</f>
        <v>0</v>
      </c>
      <c r="O5" s="35">
        <f>'1. Data - Facilities'!Q5</f>
        <v>0</v>
      </c>
      <c r="P5" s="35">
        <f>'1. Data - Facilities'!R5</f>
        <v>0</v>
      </c>
      <c r="Q5" s="35">
        <f>'1. Data - Facilities'!S5</f>
        <v>0</v>
      </c>
      <c r="R5" s="35">
        <f>'1. Data - Facilities'!T5</f>
        <v>73</v>
      </c>
      <c r="S5" s="35" t="str">
        <f>'1. Data - Facilities'!U5</f>
        <v>No - No Health Centerian</v>
      </c>
      <c r="T5" s="35" t="str">
        <f>'1. Data - Facilities'!V5</f>
        <v>No</v>
      </c>
      <c r="U5" s="35" t="str">
        <f>'1. Data - Facilities'!W5</f>
        <v/>
      </c>
      <c r="V5" s="35" t="str">
        <f>'1. Data - Facilities'!X5</f>
        <v>Paper only</v>
      </c>
      <c r="W5" s="35" t="str">
        <f>'1. Data - Facilities'!Y5</f>
        <v>&gt;=90% on time</v>
      </c>
      <c r="X5" s="35" t="str">
        <f>'1. Data - Facilities'!Z5</f>
        <v>Yes - routinely</v>
      </c>
      <c r="Y5" s="35" t="str">
        <f>'1. Data - Facilities'!AA5</f>
        <v>Yes - consistently</v>
      </c>
      <c r="Z5" s="35" t="str">
        <f>'1. Data - Facilities'!AB5</f>
        <v>Yes</v>
      </c>
      <c r="AA5" s="36">
        <f>'4. Aggregate - Literacy'!C5</f>
        <v>73</v>
      </c>
      <c r="AB5" s="36">
        <f>'4. Aggregate - Literacy'!B5</f>
        <v>3</v>
      </c>
      <c r="AC5" s="36">
        <f>'5. Aggregate - Sentiment'!C5</f>
        <v>6.5</v>
      </c>
      <c r="AD5" s="36">
        <f>'5. Aggregate - Sentiment'!B5</f>
        <v>6</v>
      </c>
      <c r="AE5" s="37">
        <f t="shared" si="2"/>
        <v>73</v>
      </c>
      <c r="AF5" s="37">
        <f t="shared" si="3"/>
        <v>0</v>
      </c>
      <c r="AG5" s="37" t="str">
        <f t="shared" si="4"/>
        <v>Mobile-only</v>
      </c>
      <c r="AH5" s="38">
        <f t="shared" si="5"/>
        <v>0</v>
      </c>
      <c r="AI5" s="38">
        <f t="shared" si="6"/>
        <v>2</v>
      </c>
      <c r="AJ5" s="38">
        <f t="shared" si="7"/>
        <v>0</v>
      </c>
      <c r="AK5" s="38">
        <f t="shared" si="8"/>
        <v>2</v>
      </c>
      <c r="AL5" s="38">
        <f t="shared" si="9"/>
        <v>2</v>
      </c>
      <c r="AM5" s="38">
        <f t="shared" si="10"/>
        <v>2</v>
      </c>
      <c r="AN5" s="35">
        <f t="shared" ref="AN5:AP5" si="22">IF(AH5=0,1,0)</f>
        <v>1</v>
      </c>
      <c r="AO5" s="35">
        <f t="shared" si="22"/>
        <v>0</v>
      </c>
      <c r="AP5" s="35">
        <f t="shared" si="22"/>
        <v>1</v>
      </c>
      <c r="AQ5" s="35">
        <f t="shared" si="12"/>
        <v>0</v>
      </c>
      <c r="AR5" s="35">
        <f t="shared" si="13"/>
        <v>1</v>
      </c>
      <c r="AS5" s="35">
        <f t="shared" si="14"/>
        <v>0</v>
      </c>
      <c r="AT5" s="35">
        <f t="shared" si="15"/>
        <v>3</v>
      </c>
      <c r="AU5" s="35" t="str">
        <f t="shared" si="16"/>
        <v>BLK-01 BLK-03 BLK-05</v>
      </c>
      <c r="AV5" s="35" t="str">
        <f t="shared" si="17"/>
        <v>BLK-01: No primary power | BLK-03: Zero computers or tablets | BLK-05: No IT support |</v>
      </c>
      <c r="AW5" s="39">
        <f t="shared" si="18"/>
        <v>43.3</v>
      </c>
      <c r="AX5" s="39" t="str">
        <f t="shared" si="19"/>
        <v>Tier 3</v>
      </c>
      <c r="AY5" s="39" t="str">
        <f t="shared" si="20"/>
        <v>—</v>
      </c>
    </row>
    <row r="6">
      <c r="A6" s="34" t="str">
        <f>'1. Data - Facilities'!A6</f>
        <v>Chocolate City HC</v>
      </c>
      <c r="B6" s="34" t="str">
        <f>'1. Data - Facilities'!B6</f>
        <v>Montserrado</v>
      </c>
      <c r="C6" s="34" t="str">
        <f>'1. Data - Facilities'!C6</f>
        <v>Health Center</v>
      </c>
      <c r="D6" s="35" t="str">
        <f>'1. Data - Facilities'!F6</f>
        <v>Grid</v>
      </c>
      <c r="E6" s="35">
        <f>'1. Data - Facilities'!G6</f>
        <v>15</v>
      </c>
      <c r="F6" s="35" t="str">
        <f>'1. Data - Facilities'!H6</f>
        <v/>
      </c>
      <c r="G6" s="35" t="str">
        <f>'1. Data - Facilities'!I6</f>
        <v>Solar / Inverter only</v>
      </c>
      <c r="H6" s="35" t="str">
        <f>'1. Data - Facilities'!J6</f>
        <v/>
      </c>
      <c r="I6" s="35" t="str">
        <f>'1. Data - Facilities'!K6</f>
        <v/>
      </c>
      <c r="J6" s="35" t="str">
        <f>'1. Data - Facilities'!L6</f>
        <v/>
      </c>
      <c r="K6" s="35" t="str">
        <f>'1. Data - Facilities'!M6</f>
        <v/>
      </c>
      <c r="L6" s="35" t="str">
        <f>'1. Data - Facilities'!N6</f>
        <v/>
      </c>
      <c r="M6" s="35" t="str">
        <f>'1. Data - Facilities'!O6</f>
        <v>Weak (-85 to -100 dBm)</v>
      </c>
      <c r="N6" s="35">
        <f>'1. Data - Facilities'!P6</f>
        <v>1</v>
      </c>
      <c r="O6" s="35">
        <f>'1. Data - Facilities'!Q6</f>
        <v>0</v>
      </c>
      <c r="P6" s="35">
        <f>'1. Data - Facilities'!R6</f>
        <v>0</v>
      </c>
      <c r="Q6" s="35">
        <f>'1. Data - Facilities'!S6</f>
        <v>0</v>
      </c>
      <c r="R6" s="35">
        <f>'1. Data - Facilities'!T6</f>
        <v>74</v>
      </c>
      <c r="S6" s="35" t="str">
        <f>'1. Data - Facilities'!U6</f>
        <v>No - No Health Centerian</v>
      </c>
      <c r="T6" s="35" t="str">
        <f>'1. Data - Facilities'!V6</f>
        <v>No</v>
      </c>
      <c r="U6" s="35" t="str">
        <f>'1. Data - Facilities'!W6</f>
        <v>Integrated and routine</v>
      </c>
      <c r="V6" s="35" t="str">
        <f>'1. Data - Facilities'!X6</f>
        <v>Paper only</v>
      </c>
      <c r="W6" s="35" t="str">
        <f>'1. Data - Facilities'!Y6</f>
        <v>&gt;=90% on time</v>
      </c>
      <c r="X6" s="35" t="str">
        <f>'1. Data - Facilities'!Z6</f>
        <v>Yes - routinely</v>
      </c>
      <c r="Y6" s="35" t="str">
        <f>'1. Data - Facilities'!AA6</f>
        <v>Yes - consistently</v>
      </c>
      <c r="Z6" s="35" t="str">
        <f>'1. Data - Facilities'!AB6</f>
        <v>Yes</v>
      </c>
      <c r="AA6" s="36">
        <f>'4. Aggregate - Literacy'!C6</f>
        <v>74</v>
      </c>
      <c r="AB6" s="36">
        <f>'4. Aggregate - Literacy'!B6</f>
        <v>5</v>
      </c>
      <c r="AC6" s="36">
        <f>'5. Aggregate - Sentiment'!C6</f>
        <v>9.8</v>
      </c>
      <c r="AD6" s="36">
        <f>'5. Aggregate - Sentiment'!B6</f>
        <v>5</v>
      </c>
      <c r="AE6" s="37">
        <f t="shared" si="2"/>
        <v>74</v>
      </c>
      <c r="AF6" s="37">
        <f t="shared" si="3"/>
        <v>1</v>
      </c>
      <c r="AG6" s="37" t="str">
        <f t="shared" si="4"/>
        <v>Mobile-only</v>
      </c>
      <c r="AH6" s="38">
        <f t="shared" si="5"/>
        <v>2</v>
      </c>
      <c r="AI6" s="38">
        <f t="shared" si="6"/>
        <v>1</v>
      </c>
      <c r="AJ6" s="38">
        <f t="shared" si="7"/>
        <v>2</v>
      </c>
      <c r="AK6" s="38">
        <f t="shared" si="8"/>
        <v>2</v>
      </c>
      <c r="AL6" s="38">
        <f t="shared" si="9"/>
        <v>2</v>
      </c>
      <c r="AM6" s="38">
        <f t="shared" si="10"/>
        <v>2</v>
      </c>
      <c r="AN6" s="35">
        <f t="shared" ref="AN6:AP6" si="23">IF(AH6=0,1,0)</f>
        <v>0</v>
      </c>
      <c r="AO6" s="35">
        <f t="shared" si="23"/>
        <v>0</v>
      </c>
      <c r="AP6" s="35">
        <f t="shared" si="23"/>
        <v>0</v>
      </c>
      <c r="AQ6" s="35">
        <f t="shared" si="12"/>
        <v>0</v>
      </c>
      <c r="AR6" s="35">
        <f t="shared" si="13"/>
        <v>0</v>
      </c>
      <c r="AS6" s="35">
        <f t="shared" si="14"/>
        <v>0</v>
      </c>
      <c r="AT6" s="35">
        <f t="shared" si="15"/>
        <v>0</v>
      </c>
      <c r="AU6" s="35" t="str">
        <f t="shared" si="16"/>
        <v/>
      </c>
      <c r="AV6" s="35" t="str">
        <f t="shared" si="17"/>
        <v/>
      </c>
      <c r="AW6" s="39">
        <f t="shared" si="18"/>
        <v>60.7</v>
      </c>
      <c r="AX6" s="39" t="str">
        <f t="shared" si="19"/>
        <v>Tier 2</v>
      </c>
      <c r="AY6" s="39" t="str">
        <f t="shared" si="20"/>
        <v>Wave 2</v>
      </c>
    </row>
    <row r="7">
      <c r="A7" s="34" t="str">
        <f>'1. Data - Facilities'!A7</f>
        <v>Clara Town Health Center</v>
      </c>
      <c r="B7" s="34" t="str">
        <f>'1. Data - Facilities'!B7</f>
        <v>Montserrado</v>
      </c>
      <c r="C7" s="34" t="str">
        <f>'1. Data - Facilities'!C7</f>
        <v>Health Center</v>
      </c>
      <c r="D7" s="35" t="str">
        <f>'1. Data - Facilities'!F7</f>
        <v>Grid</v>
      </c>
      <c r="E7" s="35">
        <f>'1. Data - Facilities'!G7</f>
        <v>28</v>
      </c>
      <c r="F7" s="35" t="str">
        <f>'1. Data - Facilities'!H7</f>
        <v/>
      </c>
      <c r="G7" s="35" t="str">
        <f>'1. Data - Facilities'!I7</f>
        <v>Generator only</v>
      </c>
      <c r="H7" s="35" t="str">
        <f>'1. Data - Facilities'!J7</f>
        <v/>
      </c>
      <c r="I7" s="35" t="str">
        <f>'1. Data - Facilities'!K7</f>
        <v/>
      </c>
      <c r="J7" s="35" t="str">
        <f>'1. Data - Facilities'!L7</f>
        <v/>
      </c>
      <c r="K7" s="35" t="str">
        <f>'1. Data - Facilities'!M7</f>
        <v/>
      </c>
      <c r="L7" s="35" t="str">
        <f>'1. Data - Facilities'!N7</f>
        <v/>
      </c>
      <c r="M7" s="35" t="str">
        <f>'1. Data - Facilities'!O7</f>
        <v>Weak (-85 to -100 dBm)</v>
      </c>
      <c r="N7" s="35">
        <f>'1. Data - Facilities'!P7</f>
        <v>1</v>
      </c>
      <c r="O7" s="35">
        <f>'1. Data - Facilities'!Q7</f>
        <v>2</v>
      </c>
      <c r="P7" s="35">
        <f>'1. Data - Facilities'!R7</f>
        <v>0</v>
      </c>
      <c r="Q7" s="35">
        <f>'1. Data - Facilities'!S7</f>
        <v>0</v>
      </c>
      <c r="R7" s="35">
        <f>'1. Data - Facilities'!T7</f>
        <v>72</v>
      </c>
      <c r="S7" s="35" t="str">
        <f>'1. Data - Facilities'!U7</f>
        <v>No - No Health Centerian</v>
      </c>
      <c r="T7" s="35" t="str">
        <f>'1. Data - Facilities'!V7</f>
        <v>No</v>
      </c>
      <c r="U7" s="35" t="str">
        <f>'1. Data - Facilities'!W7</f>
        <v>Integrated and routine</v>
      </c>
      <c r="V7" s="35" t="str">
        <f>'1. Data - Facilities'!X7</f>
        <v>Paper only</v>
      </c>
      <c r="W7" s="35" t="str">
        <f>'1. Data - Facilities'!Y7</f>
        <v>&gt;=90% on time</v>
      </c>
      <c r="X7" s="35" t="str">
        <f>'1. Data - Facilities'!Z7</f>
        <v>Yes - routinely</v>
      </c>
      <c r="Y7" s="35" t="str">
        <f>'1. Data - Facilities'!AA7</f>
        <v>Yes - consistently</v>
      </c>
      <c r="Z7" s="35" t="str">
        <f>'1. Data - Facilities'!AB7</f>
        <v>Yes</v>
      </c>
      <c r="AA7" s="36">
        <f>'4. Aggregate - Literacy'!C7</f>
        <v>72</v>
      </c>
      <c r="AB7" s="36">
        <f>'4. Aggregate - Literacy'!B7</f>
        <v>5</v>
      </c>
      <c r="AC7" s="36">
        <f>'5. Aggregate - Sentiment'!C7</f>
        <v>5</v>
      </c>
      <c r="AD7" s="36">
        <f>'5. Aggregate - Sentiment'!B7</f>
        <v>5</v>
      </c>
      <c r="AE7" s="37">
        <f t="shared" si="2"/>
        <v>72</v>
      </c>
      <c r="AF7" s="37">
        <f t="shared" si="3"/>
        <v>3</v>
      </c>
      <c r="AG7" s="37" t="str">
        <f t="shared" si="4"/>
        <v>Mobile-only</v>
      </c>
      <c r="AH7" s="38">
        <f t="shared" si="5"/>
        <v>2</v>
      </c>
      <c r="AI7" s="38">
        <f t="shared" si="6"/>
        <v>1</v>
      </c>
      <c r="AJ7" s="38">
        <f t="shared" si="7"/>
        <v>2</v>
      </c>
      <c r="AK7" s="38">
        <f t="shared" si="8"/>
        <v>2</v>
      </c>
      <c r="AL7" s="38">
        <f t="shared" si="9"/>
        <v>2</v>
      </c>
      <c r="AM7" s="38">
        <f t="shared" si="10"/>
        <v>2</v>
      </c>
      <c r="AN7" s="35">
        <f t="shared" ref="AN7:AP7" si="24">IF(AH7=0,1,0)</f>
        <v>0</v>
      </c>
      <c r="AO7" s="35">
        <f t="shared" si="24"/>
        <v>0</v>
      </c>
      <c r="AP7" s="35">
        <f t="shared" si="24"/>
        <v>0</v>
      </c>
      <c r="AQ7" s="35">
        <f t="shared" si="12"/>
        <v>0</v>
      </c>
      <c r="AR7" s="35">
        <f t="shared" si="13"/>
        <v>0</v>
      </c>
      <c r="AS7" s="35">
        <f t="shared" si="14"/>
        <v>0</v>
      </c>
      <c r="AT7" s="35">
        <f t="shared" si="15"/>
        <v>0</v>
      </c>
      <c r="AU7" s="35" t="str">
        <f t="shared" si="16"/>
        <v/>
      </c>
      <c r="AV7" s="35" t="str">
        <f t="shared" si="17"/>
        <v/>
      </c>
      <c r="AW7" s="39">
        <f t="shared" si="18"/>
        <v>60.7</v>
      </c>
      <c r="AX7" s="39" t="str">
        <f t="shared" si="19"/>
        <v>Tier 2</v>
      </c>
      <c r="AY7" s="39" t="str">
        <f t="shared" si="20"/>
        <v>Wave 2</v>
      </c>
    </row>
    <row r="8">
      <c r="A8" s="34" t="str">
        <f>'1. Data - Facilities'!A8</f>
        <v>Cotton Tree Health Center</v>
      </c>
      <c r="B8" s="34" t="str">
        <f>'1. Data - Facilities'!B8</f>
        <v>Margibi</v>
      </c>
      <c r="C8" s="34" t="str">
        <f>'1. Data - Facilities'!C8</f>
        <v>Health Center</v>
      </c>
      <c r="D8" s="35" t="str">
        <f>'1. Data - Facilities'!F8</f>
        <v>Grid</v>
      </c>
      <c r="E8" s="35">
        <f>'1. Data - Facilities'!G8</f>
        <v>12</v>
      </c>
      <c r="F8" s="35" t="str">
        <f>'1. Data - Facilities'!H8</f>
        <v/>
      </c>
      <c r="G8" s="35" t="str">
        <f>'1. Data - Facilities'!I8</f>
        <v>Generator only</v>
      </c>
      <c r="H8" s="35" t="str">
        <f>'1. Data - Facilities'!J8</f>
        <v/>
      </c>
      <c r="I8" s="35" t="str">
        <f>'1. Data - Facilities'!K8</f>
        <v/>
      </c>
      <c r="J8" s="35" t="str">
        <f>'1. Data - Facilities'!L8</f>
        <v/>
      </c>
      <c r="K8" s="35" t="str">
        <f>'1. Data - Facilities'!M8</f>
        <v/>
      </c>
      <c r="L8" s="35" t="str">
        <f>'1. Data - Facilities'!N8</f>
        <v/>
      </c>
      <c r="M8" s="35" t="str">
        <f>'1. Data - Facilities'!O8</f>
        <v>Moderate (-70 to -85 dBm)</v>
      </c>
      <c r="N8" s="35">
        <f>'1. Data - Facilities'!P8</f>
        <v>0</v>
      </c>
      <c r="O8" s="35">
        <f>'1. Data - Facilities'!Q8</f>
        <v>0</v>
      </c>
      <c r="P8" s="35">
        <f>'1. Data - Facilities'!R8</f>
        <v>0</v>
      </c>
      <c r="Q8" s="35">
        <f>'1. Data - Facilities'!S8</f>
        <v>0</v>
      </c>
      <c r="R8" s="35">
        <f>'1. Data - Facilities'!T8</f>
        <v>77</v>
      </c>
      <c r="S8" s="35" t="str">
        <f>'1. Data - Facilities'!U8</f>
        <v>No - No Health Centerian</v>
      </c>
      <c r="T8" s="35" t="str">
        <f>'1. Data - Facilities'!V8</f>
        <v>No</v>
      </c>
      <c r="U8" s="35" t="str">
        <f>'1. Data - Facilities'!W8</f>
        <v/>
      </c>
      <c r="V8" s="35" t="str">
        <f>'1. Data - Facilities'!X8</f>
        <v>Paper only</v>
      </c>
      <c r="W8" s="35" t="str">
        <f>'1. Data - Facilities'!Y8</f>
        <v>70-89% on time</v>
      </c>
      <c r="X8" s="35" t="str">
        <f>'1. Data - Facilities'!Z8</f>
        <v>Yes - routinely</v>
      </c>
      <c r="Y8" s="35" t="str">
        <f>'1. Data - Facilities'!AA8</f>
        <v>Yes - consistently</v>
      </c>
      <c r="Z8" s="35" t="str">
        <f>'1. Data - Facilities'!AB8</f>
        <v>Yes</v>
      </c>
      <c r="AA8" s="36">
        <f>'4. Aggregate - Literacy'!C8</f>
        <v>77</v>
      </c>
      <c r="AB8" s="36">
        <f>'4. Aggregate - Literacy'!B8</f>
        <v>3</v>
      </c>
      <c r="AC8" s="36">
        <f>'5. Aggregate - Sentiment'!C8</f>
        <v>6</v>
      </c>
      <c r="AD8" s="36">
        <f>'5. Aggregate - Sentiment'!B8</f>
        <v>4</v>
      </c>
      <c r="AE8" s="37">
        <f t="shared" si="2"/>
        <v>77</v>
      </c>
      <c r="AF8" s="37">
        <f t="shared" si="3"/>
        <v>0</v>
      </c>
      <c r="AG8" s="37" t="str">
        <f t="shared" si="4"/>
        <v>Mobile-only</v>
      </c>
      <c r="AH8" s="38">
        <f t="shared" si="5"/>
        <v>2</v>
      </c>
      <c r="AI8" s="38">
        <f t="shared" si="6"/>
        <v>2</v>
      </c>
      <c r="AJ8" s="38">
        <f t="shared" si="7"/>
        <v>0</v>
      </c>
      <c r="AK8" s="38">
        <f t="shared" si="8"/>
        <v>2</v>
      </c>
      <c r="AL8" s="38">
        <f t="shared" si="9"/>
        <v>2</v>
      </c>
      <c r="AM8" s="38">
        <f t="shared" si="10"/>
        <v>2</v>
      </c>
      <c r="AN8" s="35">
        <f t="shared" ref="AN8:AP8" si="25">IF(AH8=0,1,0)</f>
        <v>0</v>
      </c>
      <c r="AO8" s="35">
        <f t="shared" si="25"/>
        <v>0</v>
      </c>
      <c r="AP8" s="35">
        <f t="shared" si="25"/>
        <v>1</v>
      </c>
      <c r="AQ8" s="35">
        <f t="shared" si="12"/>
        <v>0</v>
      </c>
      <c r="AR8" s="35">
        <f t="shared" si="13"/>
        <v>1</v>
      </c>
      <c r="AS8" s="35">
        <f t="shared" si="14"/>
        <v>0</v>
      </c>
      <c r="AT8" s="35">
        <f t="shared" si="15"/>
        <v>2</v>
      </c>
      <c r="AU8" s="35" t="str">
        <f t="shared" si="16"/>
        <v>BLK-03 BLK-05</v>
      </c>
      <c r="AV8" s="35" t="str">
        <f t="shared" si="17"/>
        <v>BLK-03: Zero computers or tablets | BLK-05: No IT support |</v>
      </c>
      <c r="AW8" s="39">
        <f t="shared" si="18"/>
        <v>58</v>
      </c>
      <c r="AX8" s="39" t="str">
        <f t="shared" si="19"/>
        <v>Tier 3</v>
      </c>
      <c r="AY8" s="39" t="str">
        <f t="shared" si="20"/>
        <v>—</v>
      </c>
    </row>
    <row r="9">
      <c r="A9" s="34" t="str">
        <f>'1. Data - Facilities'!A9</f>
        <v>Damballa Health Center</v>
      </c>
      <c r="B9" s="34" t="str">
        <f>'1. Data - Facilities'!B9</f>
        <v>Grand Cape Mount</v>
      </c>
      <c r="C9" s="34" t="str">
        <f>'1. Data - Facilities'!C9</f>
        <v>Health Center</v>
      </c>
      <c r="D9" s="35" t="str">
        <f>'1. Data - Facilities'!F9</f>
        <v>Solar / Inverter</v>
      </c>
      <c r="E9" s="35">
        <f>'1. Data - Facilities'!G9</f>
        <v>8</v>
      </c>
      <c r="F9" s="35" t="str">
        <f>'1. Data - Facilities'!H9</f>
        <v/>
      </c>
      <c r="G9" s="35" t="str">
        <f>'1. Data - Facilities'!I9</f>
        <v/>
      </c>
      <c r="H9" s="35" t="str">
        <f>'1. Data - Facilities'!J9</f>
        <v/>
      </c>
      <c r="I9" s="35" t="str">
        <f>'1. Data - Facilities'!K9</f>
        <v/>
      </c>
      <c r="J9" s="35" t="str">
        <f>'1. Data - Facilities'!L9</f>
        <v/>
      </c>
      <c r="K9" s="35" t="str">
        <f>'1. Data - Facilities'!M9</f>
        <v/>
      </c>
      <c r="L9" s="35" t="str">
        <f>'1. Data - Facilities'!N9</f>
        <v/>
      </c>
      <c r="M9" s="35" t="str">
        <f>'1. Data - Facilities'!O9</f>
        <v>Weak (-85 to -100 dBm)</v>
      </c>
      <c r="N9" s="35">
        <f>'1. Data - Facilities'!P9</f>
        <v>1</v>
      </c>
      <c r="O9" s="35">
        <f>'1. Data - Facilities'!Q9</f>
        <v>0</v>
      </c>
      <c r="P9" s="35">
        <f>'1. Data - Facilities'!R9</f>
        <v>0</v>
      </c>
      <c r="Q9" s="35">
        <f>'1. Data - Facilities'!S9</f>
        <v>0</v>
      </c>
      <c r="R9" s="35">
        <f>'1. Data - Facilities'!T9</f>
        <v>60</v>
      </c>
      <c r="S9" s="35" t="str">
        <f>'1. Data - Facilities'!U9</f>
        <v>No - No Health Centerian</v>
      </c>
      <c r="T9" s="35" t="str">
        <f>'1. Data - Facilities'!V9</f>
        <v>No</v>
      </c>
      <c r="U9" s="35" t="str">
        <f>'1. Data - Facilities'!W9</f>
        <v/>
      </c>
      <c r="V9" s="35" t="str">
        <f>'1. Data - Facilities'!X9</f>
        <v>Paper only</v>
      </c>
      <c r="W9" s="35" t="str">
        <f>'1. Data - Facilities'!Y9</f>
        <v>&lt;70% on time</v>
      </c>
      <c r="X9" s="35" t="str">
        <f>'1. Data - Facilities'!Z9</f>
        <v>Yes - routinely</v>
      </c>
      <c r="Y9" s="35" t="str">
        <f>'1. Data - Facilities'!AA9</f>
        <v>Yes - consistently</v>
      </c>
      <c r="Z9" s="35" t="str">
        <f>'1. Data - Facilities'!AB9</f>
        <v>Yes</v>
      </c>
      <c r="AA9" s="36">
        <f>'4. Aggregate - Literacy'!C9</f>
        <v>60</v>
      </c>
      <c r="AB9" s="36">
        <f>'4. Aggregate - Literacy'!B9</f>
        <v>3</v>
      </c>
      <c r="AC9" s="36">
        <f>'5. Aggregate - Sentiment'!C9</f>
        <v>5.3</v>
      </c>
      <c r="AD9" s="36">
        <f>'5. Aggregate - Sentiment'!B9</f>
        <v>9</v>
      </c>
      <c r="AE9" s="37">
        <f t="shared" si="2"/>
        <v>60</v>
      </c>
      <c r="AF9" s="37">
        <f t="shared" si="3"/>
        <v>1</v>
      </c>
      <c r="AG9" s="37" t="str">
        <f t="shared" si="4"/>
        <v>Mobile-only</v>
      </c>
      <c r="AH9" s="38">
        <f t="shared" si="5"/>
        <v>2</v>
      </c>
      <c r="AI9" s="38">
        <f t="shared" si="6"/>
        <v>1</v>
      </c>
      <c r="AJ9" s="38">
        <f t="shared" si="7"/>
        <v>2</v>
      </c>
      <c r="AK9" s="38">
        <f t="shared" si="8"/>
        <v>2</v>
      </c>
      <c r="AL9" s="38">
        <f t="shared" si="9"/>
        <v>2</v>
      </c>
      <c r="AM9" s="38">
        <f t="shared" si="10"/>
        <v>1</v>
      </c>
      <c r="AN9" s="35">
        <f t="shared" ref="AN9:AP9" si="26">IF(AH9=0,1,0)</f>
        <v>0</v>
      </c>
      <c r="AO9" s="35">
        <f t="shared" si="26"/>
        <v>0</v>
      </c>
      <c r="AP9" s="35">
        <f t="shared" si="26"/>
        <v>0</v>
      </c>
      <c r="AQ9" s="35">
        <f t="shared" si="12"/>
        <v>0</v>
      </c>
      <c r="AR9" s="35">
        <f t="shared" si="13"/>
        <v>1</v>
      </c>
      <c r="AS9" s="35">
        <f t="shared" si="14"/>
        <v>0</v>
      </c>
      <c r="AT9" s="35">
        <f t="shared" si="15"/>
        <v>1</v>
      </c>
      <c r="AU9" s="35" t="str">
        <f t="shared" si="16"/>
        <v>BLK-05</v>
      </c>
      <c r="AV9" s="35" t="str">
        <f t="shared" si="17"/>
        <v>BLK-05: No IT support |</v>
      </c>
      <c r="AW9" s="39">
        <f t="shared" si="18"/>
        <v>57.3</v>
      </c>
      <c r="AX9" s="39" t="str">
        <f t="shared" si="19"/>
        <v>Tier 3</v>
      </c>
      <c r="AY9" s="39" t="str">
        <f t="shared" si="20"/>
        <v>—</v>
      </c>
    </row>
    <row r="10">
      <c r="A10" s="34" t="str">
        <f>'1. Data - Facilities'!A10</f>
        <v>Dolo's Town Health Center</v>
      </c>
      <c r="B10" s="34" t="str">
        <f>'1. Data - Facilities'!B10</f>
        <v>Margibi</v>
      </c>
      <c r="C10" s="34" t="str">
        <f>'1. Data - Facilities'!C10</f>
        <v>Health Center</v>
      </c>
      <c r="D10" s="35" t="str">
        <f>'1. Data - Facilities'!F10</f>
        <v>Grid</v>
      </c>
      <c r="E10" s="35">
        <f>'1. Data - Facilities'!G10</f>
        <v>12</v>
      </c>
      <c r="F10" s="35" t="str">
        <f>'1. Data - Facilities'!H10</f>
        <v/>
      </c>
      <c r="G10" s="35" t="str">
        <f>'1. Data - Facilities'!I10</f>
        <v>Generator only</v>
      </c>
      <c r="H10" s="35" t="str">
        <f>'1. Data - Facilities'!J10</f>
        <v/>
      </c>
      <c r="I10" s="35" t="str">
        <f>'1. Data - Facilities'!K10</f>
        <v/>
      </c>
      <c r="J10" s="35" t="str">
        <f>'1. Data - Facilities'!L10</f>
        <v/>
      </c>
      <c r="K10" s="35" t="str">
        <f>'1. Data - Facilities'!M10</f>
        <v/>
      </c>
      <c r="L10" s="35" t="str">
        <f>'1. Data - Facilities'!N10</f>
        <v/>
      </c>
      <c r="M10" s="35" t="str">
        <f>'1. Data - Facilities'!O10</f>
        <v>Strong (above -70 dBm)</v>
      </c>
      <c r="N10" s="35">
        <f>'1. Data - Facilities'!P10</f>
        <v>4</v>
      </c>
      <c r="O10" s="35">
        <f>'1. Data - Facilities'!Q10</f>
        <v>0</v>
      </c>
      <c r="P10" s="35">
        <f>'1. Data - Facilities'!R10</f>
        <v>1</v>
      </c>
      <c r="Q10" s="35">
        <f>'1. Data - Facilities'!S10</f>
        <v>0</v>
      </c>
      <c r="R10" s="35">
        <f>'1. Data - Facilities'!T10</f>
        <v>67</v>
      </c>
      <c r="S10" s="35" t="str">
        <f>'1. Data - Facilities'!U10</f>
        <v>No - No Health Centerian</v>
      </c>
      <c r="T10" s="35" t="str">
        <f>'1. Data - Facilities'!V10</f>
        <v>No</v>
      </c>
      <c r="U10" s="35" t="str">
        <f>'1. Data - Facilities'!W10</f>
        <v/>
      </c>
      <c r="V10" s="35" t="str">
        <f>'1. Data - Facilities'!X10</f>
        <v>Paper only</v>
      </c>
      <c r="W10" s="35" t="str">
        <f>'1. Data - Facilities'!Y10</f>
        <v>&gt;=90% on time</v>
      </c>
      <c r="X10" s="35" t="str">
        <f>'1. Data - Facilities'!Z10</f>
        <v>Yes - routinely</v>
      </c>
      <c r="Y10" s="35" t="str">
        <f>'1. Data - Facilities'!AA10</f>
        <v>Yes - consistently</v>
      </c>
      <c r="Z10" s="35" t="str">
        <f>'1. Data - Facilities'!AB10</f>
        <v>Yes</v>
      </c>
      <c r="AA10" s="36">
        <f>'4. Aggregate - Literacy'!C10</f>
        <v>67</v>
      </c>
      <c r="AB10" s="36">
        <f>'4. Aggregate - Literacy'!B10</f>
        <v>3</v>
      </c>
      <c r="AC10" s="36">
        <f>'5. Aggregate - Sentiment'!C10</f>
        <v>7.3</v>
      </c>
      <c r="AD10" s="36">
        <f>'5. Aggregate - Sentiment'!B10</f>
        <v>6</v>
      </c>
      <c r="AE10" s="37">
        <f t="shared" si="2"/>
        <v>67</v>
      </c>
      <c r="AF10" s="37">
        <f t="shared" si="3"/>
        <v>5</v>
      </c>
      <c r="AG10" s="37" t="str">
        <f t="shared" si="4"/>
        <v>Mobile-only</v>
      </c>
      <c r="AH10" s="38">
        <f t="shared" si="5"/>
        <v>2</v>
      </c>
      <c r="AI10" s="38">
        <f t="shared" si="6"/>
        <v>2</v>
      </c>
      <c r="AJ10" s="38">
        <f t="shared" si="7"/>
        <v>2</v>
      </c>
      <c r="AK10" s="38">
        <f t="shared" si="8"/>
        <v>2</v>
      </c>
      <c r="AL10" s="38">
        <f t="shared" si="9"/>
        <v>2</v>
      </c>
      <c r="AM10" s="38">
        <f t="shared" si="10"/>
        <v>2</v>
      </c>
      <c r="AN10" s="35">
        <f t="shared" ref="AN10:AP10" si="27">IF(AH10=0,1,0)</f>
        <v>0</v>
      </c>
      <c r="AO10" s="35">
        <f t="shared" si="27"/>
        <v>0</v>
      </c>
      <c r="AP10" s="35">
        <f t="shared" si="27"/>
        <v>0</v>
      </c>
      <c r="AQ10" s="35">
        <f t="shared" si="12"/>
        <v>0</v>
      </c>
      <c r="AR10" s="35">
        <f t="shared" si="13"/>
        <v>1</v>
      </c>
      <c r="AS10" s="35">
        <f t="shared" si="14"/>
        <v>0</v>
      </c>
      <c r="AT10" s="35">
        <f t="shared" si="15"/>
        <v>1</v>
      </c>
      <c r="AU10" s="35" t="str">
        <f t="shared" si="16"/>
        <v>BLK-05</v>
      </c>
      <c r="AV10" s="35" t="str">
        <f t="shared" si="17"/>
        <v>BLK-05: No IT support |</v>
      </c>
      <c r="AW10" s="39">
        <f t="shared" si="18"/>
        <v>66.7</v>
      </c>
      <c r="AX10" s="39" t="str">
        <f t="shared" si="19"/>
        <v>Tier 3</v>
      </c>
      <c r="AY10" s="39" t="str">
        <f t="shared" si="20"/>
        <v>—</v>
      </c>
    </row>
    <row r="11">
      <c r="A11" s="34" t="str">
        <f>'1. Data - Facilities'!A11</f>
        <v>Dr. Agnes Varis Health Center</v>
      </c>
      <c r="B11" s="34" t="str">
        <f>'1. Data - Facilities'!B11</f>
        <v>Montserrado</v>
      </c>
      <c r="C11" s="34" t="str">
        <f>'1. Data - Facilities'!C11</f>
        <v>Health Center</v>
      </c>
      <c r="D11" s="35" t="str">
        <f>'1. Data - Facilities'!F11</f>
        <v>Grid</v>
      </c>
      <c r="E11" s="35">
        <f>'1. Data - Facilities'!G11</f>
        <v>18</v>
      </c>
      <c r="F11" s="35" t="str">
        <f>'1. Data - Facilities'!H11</f>
        <v/>
      </c>
      <c r="G11" s="35" t="str">
        <f>'1. Data - Facilities'!I11</f>
        <v>Solar / Inverter only</v>
      </c>
      <c r="H11" s="35" t="str">
        <f>'1. Data - Facilities'!J11</f>
        <v/>
      </c>
      <c r="I11" s="35" t="str">
        <f>'1. Data - Facilities'!K11</f>
        <v/>
      </c>
      <c r="J11" s="35" t="str">
        <f>'1. Data - Facilities'!L11</f>
        <v/>
      </c>
      <c r="K11" s="35" t="str">
        <f>'1. Data - Facilities'!M11</f>
        <v/>
      </c>
      <c r="L11" s="35" t="str">
        <f>'1. Data - Facilities'!N11</f>
        <v/>
      </c>
      <c r="M11" s="35" t="str">
        <f>'1. Data - Facilities'!O11</f>
        <v>Strong (above -70 dBm)</v>
      </c>
      <c r="N11" s="35">
        <f>'1. Data - Facilities'!P11</f>
        <v>1</v>
      </c>
      <c r="O11" s="35">
        <f>'1. Data - Facilities'!Q11</f>
        <v>0</v>
      </c>
      <c r="P11" s="35">
        <f>'1. Data - Facilities'!R11</f>
        <v>0</v>
      </c>
      <c r="Q11" s="35">
        <f>'1. Data - Facilities'!S11</f>
        <v>0</v>
      </c>
      <c r="R11" s="35">
        <f>'1. Data - Facilities'!T11</f>
        <v>55</v>
      </c>
      <c r="S11" s="35" t="str">
        <f>'1. Data - Facilities'!U11</f>
        <v>No - No Health Centerian</v>
      </c>
      <c r="T11" s="35" t="str">
        <f>'1. Data - Facilities'!V11</f>
        <v>No</v>
      </c>
      <c r="U11" s="35" t="str">
        <f>'1. Data - Facilities'!W11</f>
        <v/>
      </c>
      <c r="V11" s="35" t="str">
        <f>'1. Data - Facilities'!X11</f>
        <v>Paper only</v>
      </c>
      <c r="W11" s="35" t="str">
        <f>'1. Data - Facilities'!Y11</f>
        <v>&gt;=90% on time</v>
      </c>
      <c r="X11" s="35" t="str">
        <f>'1. Data - Facilities'!Z11</f>
        <v>Yes - routinely</v>
      </c>
      <c r="Y11" s="35" t="str">
        <f>'1. Data - Facilities'!AA11</f>
        <v>No</v>
      </c>
      <c r="Z11" s="35" t="str">
        <f>'1. Data - Facilities'!AB11</f>
        <v>Yes</v>
      </c>
      <c r="AA11" s="36">
        <f>'4. Aggregate - Literacy'!C11</f>
        <v>55</v>
      </c>
      <c r="AB11" s="36">
        <f>'4. Aggregate - Literacy'!B11</f>
        <v>2</v>
      </c>
      <c r="AC11" s="36">
        <f>'5. Aggregate - Sentiment'!C11</f>
        <v>8.8</v>
      </c>
      <c r="AD11" s="36">
        <f>'5. Aggregate - Sentiment'!B11</f>
        <v>4</v>
      </c>
      <c r="AE11" s="37">
        <f t="shared" si="2"/>
        <v>55</v>
      </c>
      <c r="AF11" s="37">
        <f t="shared" si="3"/>
        <v>1</v>
      </c>
      <c r="AG11" s="37" t="str">
        <f t="shared" si="4"/>
        <v>Mobile-only</v>
      </c>
      <c r="AH11" s="38">
        <f t="shared" si="5"/>
        <v>2</v>
      </c>
      <c r="AI11" s="38">
        <f t="shared" si="6"/>
        <v>2</v>
      </c>
      <c r="AJ11" s="38">
        <f t="shared" si="7"/>
        <v>2</v>
      </c>
      <c r="AK11" s="38">
        <f t="shared" si="8"/>
        <v>2</v>
      </c>
      <c r="AL11" s="38">
        <f t="shared" si="9"/>
        <v>2</v>
      </c>
      <c r="AM11" s="38">
        <f t="shared" si="10"/>
        <v>2</v>
      </c>
      <c r="AN11" s="35">
        <f t="shared" ref="AN11:AP11" si="28">IF(AH11=0,1,0)</f>
        <v>0</v>
      </c>
      <c r="AO11" s="35">
        <f t="shared" si="28"/>
        <v>0</v>
      </c>
      <c r="AP11" s="35">
        <f t="shared" si="28"/>
        <v>0</v>
      </c>
      <c r="AQ11" s="35">
        <f t="shared" si="12"/>
        <v>1</v>
      </c>
      <c r="AR11" s="35">
        <f t="shared" si="13"/>
        <v>1</v>
      </c>
      <c r="AS11" s="35">
        <f t="shared" si="14"/>
        <v>0</v>
      </c>
      <c r="AT11" s="35">
        <f t="shared" si="15"/>
        <v>2</v>
      </c>
      <c r="AU11" s="35" t="str">
        <f t="shared" si="16"/>
        <v>BLK-04 BLK-05</v>
      </c>
      <c r="AV11" s="35" t="str">
        <f t="shared" si="17"/>
        <v>BLK-04: Not reporting to DHIS2 | BLK-05: No IT support |</v>
      </c>
      <c r="AW11" s="39">
        <f t="shared" si="18"/>
        <v>66.7</v>
      </c>
      <c r="AX11" s="39" t="str">
        <f t="shared" si="19"/>
        <v>Tier 3</v>
      </c>
      <c r="AY11" s="39" t="str">
        <f t="shared" si="20"/>
        <v>—</v>
      </c>
    </row>
    <row r="12">
      <c r="A12" s="34" t="str">
        <f>'1. Data - Facilities'!A12</f>
        <v>Duport Road Health Center</v>
      </c>
      <c r="B12" s="34" t="str">
        <f>'1. Data - Facilities'!B12</f>
        <v>Montserrado</v>
      </c>
      <c r="C12" s="34" t="str">
        <f>'1. Data - Facilities'!C12</f>
        <v>Health Center</v>
      </c>
      <c r="D12" s="35" t="str">
        <f>'1. Data - Facilities'!F12</f>
        <v>Generator</v>
      </c>
      <c r="E12" s="35">
        <f>'1. Data - Facilities'!G12</f>
        <v>16</v>
      </c>
      <c r="F12" s="35" t="str">
        <f>'1. Data - Facilities'!H12</f>
        <v/>
      </c>
      <c r="G12" s="35" t="str">
        <f>'1. Data - Facilities'!I12</f>
        <v>Solar / Inverter only</v>
      </c>
      <c r="H12" s="35" t="str">
        <f>'1. Data - Facilities'!J12</f>
        <v/>
      </c>
      <c r="I12" s="35" t="str">
        <f>'1. Data - Facilities'!K12</f>
        <v/>
      </c>
      <c r="J12" s="35" t="str">
        <f>'1. Data - Facilities'!L12</f>
        <v/>
      </c>
      <c r="K12" s="35" t="str">
        <f>'1. Data - Facilities'!M12</f>
        <v/>
      </c>
      <c r="L12" s="35" t="str">
        <f>'1. Data - Facilities'!N12</f>
        <v/>
      </c>
      <c r="M12" s="35" t="str">
        <f>'1. Data - Facilities'!O12</f>
        <v>Moderate (-70 to -85 dBm)</v>
      </c>
      <c r="N12" s="35">
        <f>'1. Data - Facilities'!P12</f>
        <v>4</v>
      </c>
      <c r="O12" s="35">
        <f>'1. Data - Facilities'!Q12</f>
        <v>2</v>
      </c>
      <c r="P12" s="35">
        <f>'1. Data - Facilities'!R12</f>
        <v>0</v>
      </c>
      <c r="Q12" s="35">
        <f>'1. Data - Facilities'!S12</f>
        <v>0</v>
      </c>
      <c r="R12" s="35">
        <f>'1. Data - Facilities'!T12</f>
        <v>73</v>
      </c>
      <c r="S12" s="35" t="str">
        <f>'1. Data - Facilities'!U12</f>
        <v>No - No Health Centerian</v>
      </c>
      <c r="T12" s="35" t="str">
        <f>'1. Data - Facilities'!V12</f>
        <v>Yes - part time / shared</v>
      </c>
      <c r="U12" s="35" t="str">
        <f>'1. Data - Facilities'!W12</f>
        <v/>
      </c>
      <c r="V12" s="35" t="str">
        <f>'1. Data - Facilities'!X12</f>
        <v>Paper only</v>
      </c>
      <c r="W12" s="35" t="str">
        <f>'1. Data - Facilities'!Y12</f>
        <v>70-89% on time</v>
      </c>
      <c r="X12" s="35" t="str">
        <f>'1. Data - Facilities'!Z12</f>
        <v>Yes - routinely</v>
      </c>
      <c r="Y12" s="35" t="str">
        <f>'1. Data - Facilities'!AA12</f>
        <v>No</v>
      </c>
      <c r="Z12" s="35" t="str">
        <f>'1. Data - Facilities'!AB12</f>
        <v>Yes</v>
      </c>
      <c r="AA12" s="36">
        <f>'4. Aggregate - Literacy'!C12</f>
        <v>63</v>
      </c>
      <c r="AB12" s="36">
        <f>'4. Aggregate - Literacy'!B12</f>
        <v>3</v>
      </c>
      <c r="AC12" s="36">
        <f>'5. Aggregate - Sentiment'!C12</f>
        <v>9.8</v>
      </c>
      <c r="AD12" s="36">
        <f>'5. Aggregate - Sentiment'!B12</f>
        <v>4</v>
      </c>
      <c r="AE12" s="37">
        <f t="shared" si="2"/>
        <v>63</v>
      </c>
      <c r="AF12" s="37">
        <f t="shared" si="3"/>
        <v>6</v>
      </c>
      <c r="AG12" s="37" t="str">
        <f t="shared" si="4"/>
        <v>Mobile-only</v>
      </c>
      <c r="AH12" s="38">
        <f t="shared" si="5"/>
        <v>2</v>
      </c>
      <c r="AI12" s="38">
        <f t="shared" si="6"/>
        <v>2</v>
      </c>
      <c r="AJ12" s="38">
        <f t="shared" si="7"/>
        <v>2</v>
      </c>
      <c r="AK12" s="38">
        <f t="shared" si="8"/>
        <v>2</v>
      </c>
      <c r="AL12" s="38">
        <f t="shared" si="9"/>
        <v>2</v>
      </c>
      <c r="AM12" s="38">
        <f t="shared" si="10"/>
        <v>2</v>
      </c>
      <c r="AN12" s="35">
        <f t="shared" ref="AN12:AP12" si="29">IF(AH12=0,1,0)</f>
        <v>0</v>
      </c>
      <c r="AO12" s="35">
        <f t="shared" si="29"/>
        <v>0</v>
      </c>
      <c r="AP12" s="35">
        <f t="shared" si="29"/>
        <v>0</v>
      </c>
      <c r="AQ12" s="35">
        <f t="shared" si="12"/>
        <v>1</v>
      </c>
      <c r="AR12" s="35">
        <f t="shared" si="13"/>
        <v>0</v>
      </c>
      <c r="AS12" s="35">
        <f t="shared" si="14"/>
        <v>0</v>
      </c>
      <c r="AT12" s="35">
        <f t="shared" si="15"/>
        <v>1</v>
      </c>
      <c r="AU12" s="35" t="str">
        <f t="shared" si="16"/>
        <v>BLK-04</v>
      </c>
      <c r="AV12" s="35" t="str">
        <f t="shared" si="17"/>
        <v>BLK-04: Not reporting to DHIS2 |</v>
      </c>
      <c r="AW12" s="39">
        <f t="shared" si="18"/>
        <v>66.7</v>
      </c>
      <c r="AX12" s="39" t="str">
        <f t="shared" si="19"/>
        <v>Tier 3</v>
      </c>
      <c r="AY12" s="39" t="str">
        <f t="shared" si="20"/>
        <v>—</v>
      </c>
    </row>
    <row r="13">
      <c r="A13" s="34" t="str">
        <f>'1. Data - Facilities'!A13</f>
        <v>Foya  Health Center</v>
      </c>
      <c r="B13" s="34" t="str">
        <f>'1. Data - Facilities'!B13</f>
        <v>Lofa</v>
      </c>
      <c r="C13" s="34" t="str">
        <f>'1. Data - Facilities'!C13</f>
        <v>Health Center</v>
      </c>
      <c r="D13" s="35" t="str">
        <f>'1. Data - Facilities'!F13</f>
        <v>Solar / Inverter</v>
      </c>
      <c r="E13" s="35">
        <f>'1. Data - Facilities'!G13</f>
        <v>2</v>
      </c>
      <c r="F13" s="35" t="str">
        <f>'1. Data - Facilities'!H13</f>
        <v>Some workstations</v>
      </c>
      <c r="G13" s="35" t="str">
        <f>'1. Data - Facilities'!I13</f>
        <v>Multiple backup systems (specify below)</v>
      </c>
      <c r="H13" s="35" t="str">
        <f>'1. Data - Facilities'!J13</f>
        <v/>
      </c>
      <c r="I13" s="35" t="str">
        <f>'1. Data - Facilities'!K13</f>
        <v/>
      </c>
      <c r="J13" s="35" t="str">
        <f>'1. Data - Facilities'!L13</f>
        <v/>
      </c>
      <c r="K13" s="35" t="str">
        <f>'1. Data - Facilities'!M13</f>
        <v/>
      </c>
      <c r="L13" s="35" t="str">
        <f>'1. Data - Facilities'!N13</f>
        <v/>
      </c>
      <c r="M13" s="35" t="str">
        <f>'1. Data - Facilities'!O13</f>
        <v>None (below -100 dBm or no signal)</v>
      </c>
      <c r="N13" s="35">
        <f>'1. Data - Facilities'!P13</f>
        <v>3</v>
      </c>
      <c r="O13" s="35">
        <f>'1. Data - Facilities'!Q13</f>
        <v>2</v>
      </c>
      <c r="P13" s="35">
        <f>'1. Data - Facilities'!R13</f>
        <v>1</v>
      </c>
      <c r="Q13" s="35">
        <f>'1. Data - Facilities'!S13</f>
        <v>0</v>
      </c>
      <c r="R13" s="35">
        <f>'1. Data - Facilities'!T13</f>
        <v>64</v>
      </c>
      <c r="S13" s="35" t="str">
        <f>'1. Data - Facilities'!U13</f>
        <v>No - No Health Centerian</v>
      </c>
      <c r="T13" s="35" t="str">
        <f>'1. Data - Facilities'!V13</f>
        <v>No</v>
      </c>
      <c r="U13" s="35" t="str">
        <f>'1. Data - Facilities'!W13</f>
        <v>Exists but inconsistent usage</v>
      </c>
      <c r="V13" s="35" t="str">
        <f>'1. Data - Facilities'!X13</f>
        <v>Paper only</v>
      </c>
      <c r="W13" s="35" t="str">
        <f>'1. Data - Facilities'!Y13</f>
        <v>&gt;=90% on time</v>
      </c>
      <c r="X13" s="35" t="str">
        <f>'1. Data - Facilities'!Z13</f>
        <v>Yes - routinely</v>
      </c>
      <c r="Y13" s="35" t="str">
        <f>'1. Data - Facilities'!AA13</f>
        <v>Yes - consistently</v>
      </c>
      <c r="Z13" s="35" t="str">
        <f>'1. Data - Facilities'!AB13</f>
        <v>Yes</v>
      </c>
      <c r="AA13" s="36">
        <f>'4. Aggregate - Literacy'!C13</f>
        <v>64</v>
      </c>
      <c r="AB13" s="36">
        <f>'4. Aggregate - Literacy'!B13</f>
        <v>5</v>
      </c>
      <c r="AC13" s="36">
        <f>'5. Aggregate - Sentiment'!C13</f>
        <v>10</v>
      </c>
      <c r="AD13" s="36">
        <f>'5. Aggregate - Sentiment'!B13</f>
        <v>5</v>
      </c>
      <c r="AE13" s="37">
        <f t="shared" si="2"/>
        <v>64</v>
      </c>
      <c r="AF13" s="37">
        <f t="shared" si="3"/>
        <v>6</v>
      </c>
      <c r="AG13" s="37" t="str">
        <f t="shared" si="4"/>
        <v>Mobile-only</v>
      </c>
      <c r="AH13" s="38">
        <f t="shared" si="5"/>
        <v>2</v>
      </c>
      <c r="AI13" s="38">
        <f t="shared" si="6"/>
        <v>0</v>
      </c>
      <c r="AJ13" s="38">
        <f t="shared" si="7"/>
        <v>2</v>
      </c>
      <c r="AK13" s="38">
        <f t="shared" si="8"/>
        <v>2</v>
      </c>
      <c r="AL13" s="38">
        <f t="shared" si="9"/>
        <v>2</v>
      </c>
      <c r="AM13" s="38">
        <f t="shared" si="10"/>
        <v>2</v>
      </c>
      <c r="AN13" s="35">
        <f t="shared" ref="AN13:AP13" si="30">IF(AH13=0,1,0)</f>
        <v>0</v>
      </c>
      <c r="AO13" s="35">
        <f t="shared" si="30"/>
        <v>1</v>
      </c>
      <c r="AP13" s="35">
        <f t="shared" si="30"/>
        <v>0</v>
      </c>
      <c r="AQ13" s="35">
        <f t="shared" si="12"/>
        <v>0</v>
      </c>
      <c r="AR13" s="35">
        <f t="shared" si="13"/>
        <v>0</v>
      </c>
      <c r="AS13" s="35">
        <f t="shared" si="14"/>
        <v>0</v>
      </c>
      <c r="AT13" s="35">
        <f t="shared" si="15"/>
        <v>1</v>
      </c>
      <c r="AU13" s="35" t="str">
        <f t="shared" si="16"/>
        <v>BLK-02</v>
      </c>
      <c r="AV13" s="35" t="str">
        <f t="shared" si="17"/>
        <v>BLK-02: No connectivity / &lt;2 Mbps |</v>
      </c>
      <c r="AW13" s="39">
        <f t="shared" si="18"/>
        <v>54.7</v>
      </c>
      <c r="AX13" s="39" t="str">
        <f t="shared" si="19"/>
        <v>Tier 3</v>
      </c>
      <c r="AY13" s="39" t="str">
        <f t="shared" si="20"/>
        <v>—</v>
      </c>
    </row>
    <row r="14">
      <c r="A14" s="34" t="str">
        <f>'1. Data - Facilities'!A14</f>
        <v>GW Harley Hospital</v>
      </c>
      <c r="B14" s="34" t="str">
        <f>'1. Data - Facilities'!B14</f>
        <v>Nimba</v>
      </c>
      <c r="C14" s="34" t="str">
        <f>'1. Data - Facilities'!C14</f>
        <v>Hospital</v>
      </c>
      <c r="D14" s="35" t="str">
        <f>'1. Data - Facilities'!F14</f>
        <v>Generator</v>
      </c>
      <c r="E14" s="35">
        <f>'1. Data - Facilities'!G14</f>
        <v>4</v>
      </c>
      <c r="F14" s="35" t="str">
        <f>'1. Data - Facilities'!H14</f>
        <v>Some workstations</v>
      </c>
      <c r="G14" s="35" t="str">
        <f>'1. Data - Facilities'!I14</f>
        <v>Multiple backup systems (specify below)</v>
      </c>
      <c r="H14" s="35" t="str">
        <f>'1. Data - Facilities'!J14</f>
        <v/>
      </c>
      <c r="I14" s="35" t="str">
        <f>'1. Data - Facilities'!K14</f>
        <v/>
      </c>
      <c r="J14" s="35" t="str">
        <f>'1. Data - Facilities'!L14</f>
        <v/>
      </c>
      <c r="K14" s="35" t="str">
        <f>'1. Data - Facilities'!M14</f>
        <v/>
      </c>
      <c r="L14" s="35" t="str">
        <f>'1. Data - Facilities'!N14</f>
        <v/>
      </c>
      <c r="M14" s="35" t="str">
        <f>'1. Data - Facilities'!O14</f>
        <v>None (below -100 dBm or no signal)</v>
      </c>
      <c r="N14" s="35">
        <f>'1. Data - Facilities'!P14</f>
        <v>5</v>
      </c>
      <c r="O14" s="35">
        <f>'1. Data - Facilities'!Q14</f>
        <v>2</v>
      </c>
      <c r="P14" s="35">
        <f>'1. Data - Facilities'!R14</f>
        <v>0</v>
      </c>
      <c r="Q14" s="35">
        <f>'1. Data - Facilities'!S14</f>
        <v>0</v>
      </c>
      <c r="R14" s="35">
        <f>'1. Data - Facilities'!T14</f>
        <v>78</v>
      </c>
      <c r="S14" s="35" t="str">
        <f>'1. Data - Facilities'!U14</f>
        <v>No - No Health Centerian</v>
      </c>
      <c r="T14" s="35" t="str">
        <f>'1. Data - Facilities'!V14</f>
        <v>No</v>
      </c>
      <c r="U14" s="35" t="str">
        <f>'1. Data - Facilities'!W14</f>
        <v>Exists but inconsistent usage</v>
      </c>
      <c r="V14" s="35" t="str">
        <f>'1. Data - Facilities'!X14</f>
        <v>Paper only</v>
      </c>
      <c r="W14" s="35" t="str">
        <f>'1. Data - Facilities'!Y14</f>
        <v>&gt;=90% on time</v>
      </c>
      <c r="X14" s="35" t="str">
        <f>'1. Data - Facilities'!Z14</f>
        <v>Yes - routinely</v>
      </c>
      <c r="Y14" s="35" t="str">
        <f>'1. Data - Facilities'!AA14</f>
        <v>Yes - consistently</v>
      </c>
      <c r="Z14" s="35" t="str">
        <f>'1. Data - Facilities'!AB14</f>
        <v>Yes</v>
      </c>
      <c r="AA14" s="36">
        <f>'4. Aggregate - Literacy'!C14</f>
        <v>80</v>
      </c>
      <c r="AB14" s="36">
        <f>'4. Aggregate - Literacy'!B14</f>
        <v>6</v>
      </c>
      <c r="AC14" s="36">
        <f>'5. Aggregate - Sentiment'!C14</f>
        <v>8.8</v>
      </c>
      <c r="AD14" s="36">
        <f>'5. Aggregate - Sentiment'!B14</f>
        <v>5</v>
      </c>
      <c r="AE14" s="37">
        <f t="shared" si="2"/>
        <v>80</v>
      </c>
      <c r="AF14" s="37">
        <f t="shared" si="3"/>
        <v>7</v>
      </c>
      <c r="AG14" s="37" t="str">
        <f t="shared" si="4"/>
        <v>Mobile-only</v>
      </c>
      <c r="AH14" s="38">
        <f t="shared" si="5"/>
        <v>2</v>
      </c>
      <c r="AI14" s="38">
        <f t="shared" si="6"/>
        <v>0</v>
      </c>
      <c r="AJ14" s="38">
        <f t="shared" si="7"/>
        <v>2</v>
      </c>
      <c r="AK14" s="38">
        <f t="shared" si="8"/>
        <v>2</v>
      </c>
      <c r="AL14" s="38">
        <f t="shared" si="9"/>
        <v>2</v>
      </c>
      <c r="AM14" s="38">
        <f t="shared" si="10"/>
        <v>2</v>
      </c>
      <c r="AN14" s="35">
        <f t="shared" ref="AN14:AP14" si="31">IF(AH14=0,1,0)</f>
        <v>0</v>
      </c>
      <c r="AO14" s="35">
        <f t="shared" si="31"/>
        <v>1</v>
      </c>
      <c r="AP14" s="35">
        <f t="shared" si="31"/>
        <v>0</v>
      </c>
      <c r="AQ14" s="35">
        <f t="shared" si="12"/>
        <v>0</v>
      </c>
      <c r="AR14" s="35">
        <f t="shared" si="13"/>
        <v>0</v>
      </c>
      <c r="AS14" s="35">
        <f t="shared" si="14"/>
        <v>0</v>
      </c>
      <c r="AT14" s="35">
        <f t="shared" si="15"/>
        <v>1</v>
      </c>
      <c r="AU14" s="35" t="str">
        <f t="shared" si="16"/>
        <v>BLK-02</v>
      </c>
      <c r="AV14" s="35" t="str">
        <f t="shared" si="17"/>
        <v>BLK-02: No connectivity / &lt;2 Mbps |</v>
      </c>
      <c r="AW14" s="39">
        <f t="shared" si="18"/>
        <v>54.7</v>
      </c>
      <c r="AX14" s="39" t="str">
        <f t="shared" si="19"/>
        <v>Tier 3</v>
      </c>
      <c r="AY14" s="39" t="str">
        <f t="shared" si="20"/>
        <v>—</v>
      </c>
    </row>
    <row r="15">
      <c r="A15" s="34" t="str">
        <f>'1. Data - Facilities'!A15</f>
        <v>Garzon Health Center</v>
      </c>
      <c r="B15" s="34" t="str">
        <f>'1. Data - Facilities'!B15</f>
        <v>Margibi</v>
      </c>
      <c r="C15" s="34" t="str">
        <f>'1. Data - Facilities'!C15</f>
        <v>Health Center</v>
      </c>
      <c r="D15" s="35" t="str">
        <f>'1. Data - Facilities'!F15</f>
        <v>Solar / Inverter</v>
      </c>
      <c r="E15" s="35">
        <f>'1. Data - Facilities'!G15</f>
        <v>8</v>
      </c>
      <c r="F15" s="35" t="str">
        <f>'1. Data - Facilities'!H15</f>
        <v/>
      </c>
      <c r="G15" s="35" t="str">
        <f>'1. Data - Facilities'!I15</f>
        <v>Generator only</v>
      </c>
      <c r="H15" s="35" t="str">
        <f>'1. Data - Facilities'!J15</f>
        <v/>
      </c>
      <c r="I15" s="35" t="str">
        <f>'1. Data - Facilities'!K15</f>
        <v/>
      </c>
      <c r="J15" s="35" t="str">
        <f>'1. Data - Facilities'!L15</f>
        <v/>
      </c>
      <c r="K15" s="35" t="str">
        <f>'1. Data - Facilities'!M15</f>
        <v/>
      </c>
      <c r="L15" s="35" t="str">
        <f>'1. Data - Facilities'!N15</f>
        <v/>
      </c>
      <c r="M15" s="35" t="str">
        <f>'1. Data - Facilities'!O15</f>
        <v>Moderate (-70 to -85 dBm)</v>
      </c>
      <c r="N15" s="35">
        <f>'1. Data - Facilities'!P15</f>
        <v>0</v>
      </c>
      <c r="O15" s="35">
        <f>'1. Data - Facilities'!Q15</f>
        <v>0</v>
      </c>
      <c r="P15" s="35">
        <f>'1. Data - Facilities'!R15</f>
        <v>0</v>
      </c>
      <c r="Q15" s="35">
        <f>'1. Data - Facilities'!S15</f>
        <v>0</v>
      </c>
      <c r="R15" s="35">
        <f>'1. Data - Facilities'!T15</f>
        <v>53</v>
      </c>
      <c r="S15" s="35" t="str">
        <f>'1. Data - Facilities'!U15</f>
        <v>No - No Health Centerian</v>
      </c>
      <c r="T15" s="35" t="str">
        <f>'1. Data - Facilities'!V15</f>
        <v>No</v>
      </c>
      <c r="U15" s="35" t="str">
        <f>'1. Data - Facilities'!W15</f>
        <v/>
      </c>
      <c r="V15" s="35" t="str">
        <f>'1. Data - Facilities'!X15</f>
        <v>Paper only</v>
      </c>
      <c r="W15" s="35" t="str">
        <f>'1. Data - Facilities'!Y15</f>
        <v>70-89% on time</v>
      </c>
      <c r="X15" s="35" t="str">
        <f>'1. Data - Facilities'!Z15</f>
        <v>Yes - routinely</v>
      </c>
      <c r="Y15" s="35" t="str">
        <f>'1. Data - Facilities'!AA15</f>
        <v>Yes - consistently</v>
      </c>
      <c r="Z15" s="35" t="str">
        <f>'1. Data - Facilities'!AB15</f>
        <v>Yes</v>
      </c>
      <c r="AA15" s="36">
        <f>'4. Aggregate - Literacy'!C15</f>
        <v>58</v>
      </c>
      <c r="AB15" s="36">
        <f>'4. Aggregate - Literacy'!B15</f>
        <v>5</v>
      </c>
      <c r="AC15" s="36">
        <f>'5. Aggregate - Sentiment'!C15</f>
        <v>6.8</v>
      </c>
      <c r="AD15" s="36">
        <f>'5. Aggregate - Sentiment'!B15</f>
        <v>5</v>
      </c>
      <c r="AE15" s="37">
        <f t="shared" si="2"/>
        <v>58</v>
      </c>
      <c r="AF15" s="37">
        <f t="shared" si="3"/>
        <v>0</v>
      </c>
      <c r="AG15" s="37" t="str">
        <f t="shared" si="4"/>
        <v>Mobile-only</v>
      </c>
      <c r="AH15" s="38">
        <f t="shared" si="5"/>
        <v>2</v>
      </c>
      <c r="AI15" s="38">
        <f t="shared" si="6"/>
        <v>2</v>
      </c>
      <c r="AJ15" s="38">
        <f t="shared" si="7"/>
        <v>0</v>
      </c>
      <c r="AK15" s="38">
        <f t="shared" si="8"/>
        <v>2</v>
      </c>
      <c r="AL15" s="38">
        <f t="shared" si="9"/>
        <v>2</v>
      </c>
      <c r="AM15" s="38">
        <f t="shared" si="10"/>
        <v>2</v>
      </c>
      <c r="AN15" s="35">
        <f t="shared" ref="AN15:AP15" si="32">IF(AH15=0,1,0)</f>
        <v>0</v>
      </c>
      <c r="AO15" s="35">
        <f t="shared" si="32"/>
        <v>0</v>
      </c>
      <c r="AP15" s="35">
        <f t="shared" si="32"/>
        <v>1</v>
      </c>
      <c r="AQ15" s="35">
        <f t="shared" si="12"/>
        <v>0</v>
      </c>
      <c r="AR15" s="35">
        <f t="shared" si="13"/>
        <v>1</v>
      </c>
      <c r="AS15" s="35">
        <f t="shared" si="14"/>
        <v>0</v>
      </c>
      <c r="AT15" s="35">
        <f t="shared" si="15"/>
        <v>2</v>
      </c>
      <c r="AU15" s="35" t="str">
        <f t="shared" si="16"/>
        <v>BLK-03 BLK-05</v>
      </c>
      <c r="AV15" s="35" t="str">
        <f t="shared" si="17"/>
        <v>BLK-03: Zero computers or tablets | BLK-05: No IT support |</v>
      </c>
      <c r="AW15" s="39">
        <f t="shared" si="18"/>
        <v>58</v>
      </c>
      <c r="AX15" s="39" t="str">
        <f t="shared" si="19"/>
        <v>Tier 3</v>
      </c>
      <c r="AY15" s="39" t="str">
        <f t="shared" si="20"/>
        <v>—</v>
      </c>
    </row>
    <row r="16">
      <c r="A16" s="34" t="str">
        <f>'1. Data - Facilities'!A16</f>
        <v>Gbarzon Health Center</v>
      </c>
      <c r="B16" s="34" t="str">
        <f>'1. Data - Facilities'!B16</f>
        <v>Grand Gedeh</v>
      </c>
      <c r="C16" s="34" t="str">
        <f>'1. Data - Facilities'!C16</f>
        <v>Health Center</v>
      </c>
      <c r="D16" s="35" t="str">
        <f>'1. Data - Facilities'!F16</f>
        <v>Solar / Inverter</v>
      </c>
      <c r="E16" s="35">
        <f>'1. Data - Facilities'!G16</f>
        <v>5</v>
      </c>
      <c r="F16" s="35" t="str">
        <f>'1. Data - Facilities'!H16</f>
        <v/>
      </c>
      <c r="G16" s="35" t="str">
        <f>'1. Data - Facilities'!I16</f>
        <v>Generator only</v>
      </c>
      <c r="H16" s="35" t="str">
        <f>'1. Data - Facilities'!J16</f>
        <v/>
      </c>
      <c r="I16" s="35" t="str">
        <f>'1. Data - Facilities'!K16</f>
        <v/>
      </c>
      <c r="J16" s="35" t="str">
        <f>'1. Data - Facilities'!L16</f>
        <v/>
      </c>
      <c r="K16" s="35" t="str">
        <f>'1. Data - Facilities'!M16</f>
        <v/>
      </c>
      <c r="L16" s="35" t="str">
        <f>'1. Data - Facilities'!N16</f>
        <v/>
      </c>
      <c r="M16" s="35" t="str">
        <f>'1. Data - Facilities'!O16</f>
        <v>Moderate (-70 to -85 dBm)</v>
      </c>
      <c r="N16" s="35">
        <f>'1. Data - Facilities'!P16</f>
        <v>0</v>
      </c>
      <c r="O16" s="35">
        <f>'1. Data - Facilities'!Q16</f>
        <v>0</v>
      </c>
      <c r="P16" s="35">
        <f>'1. Data - Facilities'!R16</f>
        <v>0</v>
      </c>
      <c r="Q16" s="35">
        <f>'1. Data - Facilities'!S16</f>
        <v>0</v>
      </c>
      <c r="R16" s="35">
        <f>'1. Data - Facilities'!T16</f>
        <v>60</v>
      </c>
      <c r="S16" s="35" t="str">
        <f>'1. Data - Facilities'!U16</f>
        <v>No - No Health Centerian</v>
      </c>
      <c r="T16" s="35" t="str">
        <f>'1. Data - Facilities'!V16</f>
        <v>No</v>
      </c>
      <c r="U16" s="35" t="str">
        <f>'1. Data - Facilities'!W16</f>
        <v>Integrated and routine</v>
      </c>
      <c r="V16" s="35" t="str">
        <f>'1. Data - Facilities'!X16</f>
        <v>Paper only</v>
      </c>
      <c r="W16" s="35" t="str">
        <f>'1. Data - Facilities'!Y16</f>
        <v>70-89% on time</v>
      </c>
      <c r="X16" s="35" t="str">
        <f>'1. Data - Facilities'!Z16</f>
        <v>Yes - routinely</v>
      </c>
      <c r="Y16" s="35" t="str">
        <f>'1. Data - Facilities'!AA16</f>
        <v>Yes - consistently</v>
      </c>
      <c r="Z16" s="35" t="str">
        <f>'1. Data - Facilities'!AB16</f>
        <v>Yes</v>
      </c>
      <c r="AA16" s="36">
        <f>'4. Aggregate - Literacy'!C16</f>
        <v>60</v>
      </c>
      <c r="AB16" s="36">
        <f>'4. Aggregate - Literacy'!B16</f>
        <v>2</v>
      </c>
      <c r="AC16" s="36">
        <f>'5. Aggregate - Sentiment'!C16</f>
        <v>6.2</v>
      </c>
      <c r="AD16" s="36">
        <f>'5. Aggregate - Sentiment'!B16</f>
        <v>5</v>
      </c>
      <c r="AE16" s="37">
        <f t="shared" si="2"/>
        <v>60</v>
      </c>
      <c r="AF16" s="37">
        <f t="shared" si="3"/>
        <v>0</v>
      </c>
      <c r="AG16" s="37" t="str">
        <f t="shared" si="4"/>
        <v>Mobile-only</v>
      </c>
      <c r="AH16" s="38">
        <f t="shared" si="5"/>
        <v>2</v>
      </c>
      <c r="AI16" s="38">
        <f t="shared" si="6"/>
        <v>2</v>
      </c>
      <c r="AJ16" s="38">
        <f t="shared" si="7"/>
        <v>0</v>
      </c>
      <c r="AK16" s="38">
        <f t="shared" si="8"/>
        <v>2</v>
      </c>
      <c r="AL16" s="38">
        <f t="shared" si="9"/>
        <v>2</v>
      </c>
      <c r="AM16" s="38">
        <f t="shared" si="10"/>
        <v>2</v>
      </c>
      <c r="AN16" s="35">
        <f t="shared" ref="AN16:AP16" si="33">IF(AH16=0,1,0)</f>
        <v>0</v>
      </c>
      <c r="AO16" s="35">
        <f t="shared" si="33"/>
        <v>0</v>
      </c>
      <c r="AP16" s="35">
        <f t="shared" si="33"/>
        <v>1</v>
      </c>
      <c r="AQ16" s="35">
        <f t="shared" si="12"/>
        <v>0</v>
      </c>
      <c r="AR16" s="35">
        <f t="shared" si="13"/>
        <v>0</v>
      </c>
      <c r="AS16" s="35">
        <f t="shared" si="14"/>
        <v>0</v>
      </c>
      <c r="AT16" s="35">
        <f t="shared" si="15"/>
        <v>1</v>
      </c>
      <c r="AU16" s="35" t="str">
        <f t="shared" si="16"/>
        <v>BLK-03</v>
      </c>
      <c r="AV16" s="35" t="str">
        <f t="shared" si="17"/>
        <v>BLK-03: Zero computers or tablets |</v>
      </c>
      <c r="AW16" s="39">
        <f t="shared" si="18"/>
        <v>58</v>
      </c>
      <c r="AX16" s="39" t="str">
        <f t="shared" si="19"/>
        <v>Tier 3</v>
      </c>
      <c r="AY16" s="39" t="str">
        <f t="shared" si="20"/>
        <v>—</v>
      </c>
    </row>
    <row r="17">
      <c r="A17" s="34" t="str">
        <f>'1. Data - Facilities'!A17</f>
        <v>Gbeapo Health Center</v>
      </c>
      <c r="B17" s="34" t="str">
        <f>'1. Data - Facilities'!B17</f>
        <v>River Gee</v>
      </c>
      <c r="C17" s="34" t="str">
        <f>'1. Data - Facilities'!C17</f>
        <v>Health Center</v>
      </c>
      <c r="D17" s="35" t="str">
        <f>'1. Data - Facilities'!F17</f>
        <v>Solar / Inverter</v>
      </c>
      <c r="E17" s="35">
        <f>'1. Data - Facilities'!G17</f>
        <v>20</v>
      </c>
      <c r="F17" s="35" t="str">
        <f>'1. Data - Facilities'!H17</f>
        <v/>
      </c>
      <c r="G17" s="35" t="str">
        <f>'1. Data - Facilities'!I17</f>
        <v/>
      </c>
      <c r="H17" s="35" t="str">
        <f>'1. Data - Facilities'!J17</f>
        <v>3G Wi-Fi Starlink</v>
      </c>
      <c r="I17" s="35">
        <f>'1. Data - Facilities'!K17</f>
        <v>5.81</v>
      </c>
      <c r="J17" s="35">
        <f>'1. Data - Facilities'!L17</f>
        <v>11</v>
      </c>
      <c r="K17" s="35">
        <f>'1. Data - Facilities'!M17</f>
        <v>50</v>
      </c>
      <c r="L17" s="35" t="str">
        <f>'1. Data - Facilities'!N17</f>
        <v>Low / stable (&lt;80ms)</v>
      </c>
      <c r="M17" s="35" t="str">
        <f>'1. Data - Facilities'!O17</f>
        <v>Weak (-85 to -100 dBm)</v>
      </c>
      <c r="N17" s="35">
        <f>'1. Data - Facilities'!P17</f>
        <v>1</v>
      </c>
      <c r="O17" s="35">
        <f>'1. Data - Facilities'!Q17</f>
        <v>0</v>
      </c>
      <c r="P17" s="35">
        <f>'1. Data - Facilities'!R17</f>
        <v>0</v>
      </c>
      <c r="Q17" s="35">
        <f>'1. Data - Facilities'!S17</f>
        <v>0</v>
      </c>
      <c r="R17" s="35">
        <f>'1. Data - Facilities'!T17</f>
        <v>66</v>
      </c>
      <c r="S17" s="35" t="str">
        <f>'1. Data - Facilities'!U17</f>
        <v>No - No Health Centerian</v>
      </c>
      <c r="T17" s="35" t="str">
        <f>'1. Data - Facilities'!V17</f>
        <v>No</v>
      </c>
      <c r="U17" s="35" t="str">
        <f>'1. Data - Facilities'!W17</f>
        <v/>
      </c>
      <c r="V17" s="35" t="str">
        <f>'1. Data - Facilities'!X17</f>
        <v>Paper only</v>
      </c>
      <c r="W17" s="35" t="str">
        <f>'1. Data - Facilities'!Y17</f>
        <v>&gt;=90% on time</v>
      </c>
      <c r="X17" s="35" t="str">
        <f>'1. Data - Facilities'!Z17</f>
        <v>No unique ID</v>
      </c>
      <c r="Y17" s="35" t="str">
        <f>'1. Data - Facilities'!AA17</f>
        <v>No</v>
      </c>
      <c r="Z17" s="35" t="str">
        <f>'1. Data - Facilities'!AB17</f>
        <v>Yes</v>
      </c>
      <c r="AA17" s="36">
        <f>'4. Aggregate - Literacy'!C17</f>
        <v>66</v>
      </c>
      <c r="AB17" s="36">
        <f>'4. Aggregate - Literacy'!B17</f>
        <v>5</v>
      </c>
      <c r="AC17" s="36">
        <f>'5. Aggregate - Sentiment'!C17</f>
        <v>7.6</v>
      </c>
      <c r="AD17" s="36">
        <f>'5. Aggregate - Sentiment'!B17</f>
        <v>5</v>
      </c>
      <c r="AE17" s="37">
        <f t="shared" si="2"/>
        <v>66</v>
      </c>
      <c r="AF17" s="37">
        <f t="shared" si="3"/>
        <v>1</v>
      </c>
      <c r="AG17" s="37" t="str">
        <f t="shared" si="4"/>
        <v>Moderate</v>
      </c>
      <c r="AH17" s="38">
        <f t="shared" si="5"/>
        <v>1</v>
      </c>
      <c r="AI17" s="38">
        <f t="shared" si="6"/>
        <v>2</v>
      </c>
      <c r="AJ17" s="38">
        <f t="shared" si="7"/>
        <v>2</v>
      </c>
      <c r="AK17" s="38">
        <f t="shared" si="8"/>
        <v>2</v>
      </c>
      <c r="AL17" s="38">
        <f t="shared" si="9"/>
        <v>2</v>
      </c>
      <c r="AM17" s="38">
        <f t="shared" si="10"/>
        <v>1</v>
      </c>
      <c r="AN17" s="35">
        <f t="shared" ref="AN17:AP17" si="34">IF(AH17=0,1,0)</f>
        <v>0</v>
      </c>
      <c r="AO17" s="35">
        <f t="shared" si="34"/>
        <v>0</v>
      </c>
      <c r="AP17" s="35">
        <f t="shared" si="34"/>
        <v>0</v>
      </c>
      <c r="AQ17" s="35">
        <f t="shared" si="12"/>
        <v>1</v>
      </c>
      <c r="AR17" s="35">
        <f t="shared" si="13"/>
        <v>1</v>
      </c>
      <c r="AS17" s="35">
        <f t="shared" si="14"/>
        <v>0</v>
      </c>
      <c r="AT17" s="35">
        <f t="shared" si="15"/>
        <v>2</v>
      </c>
      <c r="AU17" s="35" t="str">
        <f t="shared" si="16"/>
        <v>BLK-04 BLK-05</v>
      </c>
      <c r="AV17" s="35" t="str">
        <f t="shared" si="17"/>
        <v>BLK-04: Not reporting to DHIS2 | BLK-05: No IT support |</v>
      </c>
      <c r="AW17" s="39">
        <f t="shared" si="18"/>
        <v>56</v>
      </c>
      <c r="AX17" s="39" t="str">
        <f t="shared" si="19"/>
        <v>Tier 3</v>
      </c>
      <c r="AY17" s="39" t="str">
        <f t="shared" si="20"/>
        <v>—</v>
      </c>
    </row>
    <row r="18">
      <c r="A18" s="34" t="str">
        <f>'1. Data - Facilities'!A18</f>
        <v>J N Davies Hospital</v>
      </c>
      <c r="B18" s="34" t="str">
        <f>'1. Data - Facilities'!B18</f>
        <v>Montserrado</v>
      </c>
      <c r="C18" s="34" t="str">
        <f>'1. Data - Facilities'!C18</f>
        <v>Hospital</v>
      </c>
      <c r="D18" s="35" t="str">
        <f>'1. Data - Facilities'!F18</f>
        <v>Generator</v>
      </c>
      <c r="E18" s="35">
        <f>'1. Data - Facilities'!G18</f>
        <v>24</v>
      </c>
      <c r="F18" s="35" t="str">
        <f>'1. Data - Facilities'!H18</f>
        <v/>
      </c>
      <c r="G18" s="35" t="str">
        <f>'1. Data - Facilities'!I18</f>
        <v>Generator only</v>
      </c>
      <c r="H18" s="35" t="str">
        <f>'1. Data - Facilities'!J18</f>
        <v>Starlink</v>
      </c>
      <c r="I18" s="35">
        <f>'1. Data - Facilities'!K18</f>
        <v>20</v>
      </c>
      <c r="J18" s="35">
        <f>'1. Data - Facilities'!L18</f>
        <v>26.8</v>
      </c>
      <c r="K18" s="35">
        <f>'1. Data - Facilities'!M18</f>
        <v>80</v>
      </c>
      <c r="L18" s="35" t="str">
        <f>'1. Data - Facilities'!N18</f>
        <v>High / unstable (&gt;200ms)</v>
      </c>
      <c r="M18" s="35" t="str">
        <f>'1. Data - Facilities'!O18</f>
        <v>Moderate (-70 to -85 dBm)</v>
      </c>
      <c r="N18" s="35">
        <f>'1. Data - Facilities'!P18</f>
        <v>10</v>
      </c>
      <c r="O18" s="35">
        <f>'1. Data - Facilities'!Q18</f>
        <v>4</v>
      </c>
      <c r="P18" s="35">
        <f>'1. Data - Facilities'!R18</f>
        <v>0</v>
      </c>
      <c r="Q18" s="35">
        <f>'1. Data - Facilities'!S18</f>
        <v>4</v>
      </c>
      <c r="R18" s="35">
        <f>'1. Data - Facilities'!T18</f>
        <v>73</v>
      </c>
      <c r="S18" s="35" t="str">
        <f>'1. Data - Facilities'!U18</f>
        <v>No - No Health Centerian</v>
      </c>
      <c r="T18" s="35" t="str">
        <f>'1. Data - Facilities'!V18</f>
        <v>No</v>
      </c>
      <c r="U18" s="35" t="str">
        <f>'1. Data - Facilities'!W18</f>
        <v>Integrated and routine</v>
      </c>
      <c r="V18" s="35" t="str">
        <f>'1. Data - Facilities'!X18</f>
        <v>Paper only</v>
      </c>
      <c r="W18" s="35" t="str">
        <f>'1. Data - Facilities'!Y18</f>
        <v>&gt;=90% on time</v>
      </c>
      <c r="X18" s="35" t="str">
        <f>'1. Data - Facilities'!Z18</f>
        <v>Yes - routinely</v>
      </c>
      <c r="Y18" s="35" t="str">
        <f>'1. Data - Facilities'!AA18</f>
        <v>Yes - consistently</v>
      </c>
      <c r="Z18" s="35" t="str">
        <f>'1. Data - Facilities'!AB18</f>
        <v>Yes</v>
      </c>
      <c r="AA18" s="36">
        <f>'4. Aggregate - Literacy'!C18</f>
        <v>73</v>
      </c>
      <c r="AB18" s="36">
        <f>'4. Aggregate - Literacy'!B18</f>
        <v>3</v>
      </c>
      <c r="AC18" s="36">
        <f>'5. Aggregate - Sentiment'!C18</f>
        <v>9</v>
      </c>
      <c r="AD18" s="36">
        <f>'5. Aggregate - Sentiment'!B18</f>
        <v>5</v>
      </c>
      <c r="AE18" s="37">
        <f t="shared" si="2"/>
        <v>73</v>
      </c>
      <c r="AF18" s="37">
        <f t="shared" si="3"/>
        <v>14</v>
      </c>
      <c r="AG18" s="37" t="str">
        <f t="shared" si="4"/>
        <v>Moderate</v>
      </c>
      <c r="AH18" s="38">
        <f t="shared" si="5"/>
        <v>2</v>
      </c>
      <c r="AI18" s="38">
        <f t="shared" si="6"/>
        <v>2</v>
      </c>
      <c r="AJ18" s="38">
        <f t="shared" si="7"/>
        <v>3</v>
      </c>
      <c r="AK18" s="38">
        <f t="shared" si="8"/>
        <v>2</v>
      </c>
      <c r="AL18" s="38">
        <f t="shared" si="9"/>
        <v>2</v>
      </c>
      <c r="AM18" s="38">
        <f t="shared" si="10"/>
        <v>2</v>
      </c>
      <c r="AN18" s="35">
        <f t="shared" ref="AN18:AP18" si="35">IF(AH18=0,1,0)</f>
        <v>0</v>
      </c>
      <c r="AO18" s="35">
        <f t="shared" si="35"/>
        <v>0</v>
      </c>
      <c r="AP18" s="35">
        <f t="shared" si="35"/>
        <v>0</v>
      </c>
      <c r="AQ18" s="35">
        <f t="shared" si="12"/>
        <v>0</v>
      </c>
      <c r="AR18" s="35">
        <f t="shared" si="13"/>
        <v>0</v>
      </c>
      <c r="AS18" s="35">
        <f t="shared" si="14"/>
        <v>0</v>
      </c>
      <c r="AT18" s="35">
        <f t="shared" si="15"/>
        <v>0</v>
      </c>
      <c r="AU18" s="35" t="str">
        <f t="shared" si="16"/>
        <v/>
      </c>
      <c r="AV18" s="35" t="str">
        <f t="shared" si="17"/>
        <v/>
      </c>
      <c r="AW18" s="39">
        <f t="shared" si="18"/>
        <v>71</v>
      </c>
      <c r="AX18" s="39" t="str">
        <f t="shared" si="19"/>
        <v>Tier 2</v>
      </c>
      <c r="AY18" s="39" t="str">
        <f t="shared" si="20"/>
        <v>Wave 2</v>
      </c>
    </row>
    <row r="19">
      <c r="A19" s="34" t="str">
        <f>'1. Data - Facilities'!A19</f>
        <v>JJ Dossen Hospital</v>
      </c>
      <c r="B19" s="34" t="str">
        <f>'1. Data - Facilities'!B19</f>
        <v>Maryland</v>
      </c>
      <c r="C19" s="34" t="str">
        <f>'1. Data - Facilities'!C19</f>
        <v>Hospital</v>
      </c>
      <c r="D19" s="35" t="str">
        <f>'1. Data - Facilities'!F19</f>
        <v>Grid</v>
      </c>
      <c r="E19" s="35">
        <f>'1. Data - Facilities'!G19</f>
        <v>8</v>
      </c>
      <c r="F19" s="35" t="str">
        <f>'1. Data - Facilities'!H19</f>
        <v/>
      </c>
      <c r="G19" s="35" t="str">
        <f>'1. Data - Facilities'!I19</f>
        <v>Generator only</v>
      </c>
      <c r="H19" s="35" t="str">
        <f>'1. Data - Facilities'!J19</f>
        <v>3G 4G Starlink</v>
      </c>
      <c r="I19" s="35">
        <f>'1. Data - Facilities'!K19</f>
        <v>1.93</v>
      </c>
      <c r="J19" s="35">
        <f>'1. Data - Facilities'!L19</f>
        <v>1.78</v>
      </c>
      <c r="K19" s="35">
        <f>'1. Data - Facilities'!M19</f>
        <v>95</v>
      </c>
      <c r="L19" s="35" t="str">
        <f>'1. Data - Facilities'!N19</f>
        <v>Low / stable (&lt;80ms)</v>
      </c>
      <c r="M19" s="35" t="str">
        <f>'1. Data - Facilities'!O19</f>
        <v>Moderate (-70 to -85 dBm)</v>
      </c>
      <c r="N19" s="35">
        <f>'1. Data - Facilities'!P19</f>
        <v>5</v>
      </c>
      <c r="O19" s="35">
        <f>'1. Data - Facilities'!Q19</f>
        <v>3</v>
      </c>
      <c r="P19" s="35">
        <f>'1. Data - Facilities'!R19</f>
        <v>0</v>
      </c>
      <c r="Q19" s="35">
        <f>'1. Data - Facilities'!S19</f>
        <v>0</v>
      </c>
      <c r="R19" s="35">
        <f>'1. Data - Facilities'!T19</f>
        <v>56</v>
      </c>
      <c r="S19" s="35" t="str">
        <f>'1. Data - Facilities'!U19</f>
        <v>No - No Health Centerian</v>
      </c>
      <c r="T19" s="35" t="str">
        <f>'1. Data - Facilities'!V19</f>
        <v>No</v>
      </c>
      <c r="U19" s="35" t="str">
        <f>'1. Data - Facilities'!W19</f>
        <v/>
      </c>
      <c r="V19" s="35" t="str">
        <f>'1. Data - Facilities'!X19</f>
        <v>Hybrid (paper + digital)</v>
      </c>
      <c r="W19" s="35" t="str">
        <f>'1. Data - Facilities'!Y19</f>
        <v>70-89% on time</v>
      </c>
      <c r="X19" s="35" t="str">
        <f>'1. Data - Facilities'!Z19</f>
        <v>Yes - routinely</v>
      </c>
      <c r="Y19" s="35" t="str">
        <f>'1. Data - Facilities'!AA19</f>
        <v>Yes - consistently</v>
      </c>
      <c r="Z19" s="35" t="str">
        <f>'1. Data - Facilities'!AB19</f>
        <v>Yes</v>
      </c>
      <c r="AA19" s="36">
        <f>'4. Aggregate - Literacy'!C19</f>
        <v>56</v>
      </c>
      <c r="AB19" s="36">
        <f>'4. Aggregate - Literacy'!B19</f>
        <v>5</v>
      </c>
      <c r="AC19" s="36">
        <f>'5. Aggregate - Sentiment'!C19</f>
        <v>8.2</v>
      </c>
      <c r="AD19" s="36">
        <f>'5. Aggregate - Sentiment'!B19</f>
        <v>5</v>
      </c>
      <c r="AE19" s="37">
        <f t="shared" si="2"/>
        <v>56</v>
      </c>
      <c r="AF19" s="37">
        <f t="shared" si="3"/>
        <v>8</v>
      </c>
      <c r="AG19" s="37" t="str">
        <f t="shared" si="4"/>
        <v>Low</v>
      </c>
      <c r="AH19" s="38">
        <f t="shared" si="5"/>
        <v>2</v>
      </c>
      <c r="AI19" s="38">
        <f t="shared" si="6"/>
        <v>0</v>
      </c>
      <c r="AJ19" s="38">
        <f t="shared" si="7"/>
        <v>2</v>
      </c>
      <c r="AK19" s="38">
        <f t="shared" si="8"/>
        <v>2</v>
      </c>
      <c r="AL19" s="38">
        <f t="shared" si="9"/>
        <v>2</v>
      </c>
      <c r="AM19" s="38">
        <f t="shared" si="10"/>
        <v>2</v>
      </c>
      <c r="AN19" s="35">
        <f t="shared" ref="AN19:AP19" si="36">IF(AH19=0,1,0)</f>
        <v>0</v>
      </c>
      <c r="AO19" s="35">
        <f t="shared" si="36"/>
        <v>1</v>
      </c>
      <c r="AP19" s="35">
        <f t="shared" si="36"/>
        <v>0</v>
      </c>
      <c r="AQ19" s="35">
        <f t="shared" si="12"/>
        <v>0</v>
      </c>
      <c r="AR19" s="35">
        <f t="shared" si="13"/>
        <v>1</v>
      </c>
      <c r="AS19" s="35">
        <f t="shared" si="14"/>
        <v>0</v>
      </c>
      <c r="AT19" s="35">
        <f t="shared" si="15"/>
        <v>2</v>
      </c>
      <c r="AU19" s="35" t="str">
        <f t="shared" si="16"/>
        <v>BLK-02 BLK-05</v>
      </c>
      <c r="AV19" s="35" t="str">
        <f t="shared" si="17"/>
        <v>BLK-02: No connectivity / &lt;2 Mbps | BLK-05: No IT support |</v>
      </c>
      <c r="AW19" s="39">
        <f t="shared" si="18"/>
        <v>54.7</v>
      </c>
      <c r="AX19" s="39" t="str">
        <f t="shared" si="19"/>
        <v>Tier 3</v>
      </c>
      <c r="AY19" s="39" t="str">
        <f t="shared" si="20"/>
        <v>—</v>
      </c>
    </row>
    <row r="20">
      <c r="A20" s="34" t="str">
        <f>'1. Data - Facilities'!A20</f>
        <v>Kakata Health Center</v>
      </c>
      <c r="B20" s="34" t="str">
        <f>'1. Data - Facilities'!B20</f>
        <v>Margibi</v>
      </c>
      <c r="C20" s="34" t="str">
        <f>'1. Data - Facilities'!C20</f>
        <v>Health Center</v>
      </c>
      <c r="D20" s="35" t="str">
        <f>'1. Data - Facilities'!F20</f>
        <v>Solar / Inverter</v>
      </c>
      <c r="E20" s="35">
        <f>'1. Data - Facilities'!G20</f>
        <v>15</v>
      </c>
      <c r="F20" s="35" t="str">
        <f>'1. Data - Facilities'!H20</f>
        <v/>
      </c>
      <c r="G20" s="35" t="str">
        <f>'1. Data - Facilities'!I20</f>
        <v>Multiple backup systems (specify below)</v>
      </c>
      <c r="H20" s="35" t="str">
        <f>'1. Data - Facilities'!J20</f>
        <v>4G</v>
      </c>
      <c r="I20" s="35">
        <f>'1. Data - Facilities'!K20</f>
        <v>9.03</v>
      </c>
      <c r="J20" s="35">
        <f>'1. Data - Facilities'!L20</f>
        <v>4.51</v>
      </c>
      <c r="K20" s="35">
        <f>'1. Data - Facilities'!M20</f>
        <v>100</v>
      </c>
      <c r="L20" s="35" t="str">
        <f>'1. Data - Facilities'!N20</f>
        <v>Low / stable (&lt;80ms)</v>
      </c>
      <c r="M20" s="35" t="str">
        <f>'1. Data - Facilities'!O20</f>
        <v>Strong (above -70 dBm)</v>
      </c>
      <c r="N20" s="35">
        <f>'1. Data - Facilities'!P20</f>
        <v>2</v>
      </c>
      <c r="O20" s="35">
        <f>'1. Data - Facilities'!Q20</f>
        <v>1</v>
      </c>
      <c r="P20" s="35">
        <f>'1. Data - Facilities'!R20</f>
        <v>1</v>
      </c>
      <c r="Q20" s="35">
        <f>'1. Data - Facilities'!S20</f>
        <v>2</v>
      </c>
      <c r="R20" s="35">
        <f>'1. Data - Facilities'!T20</f>
        <v>82</v>
      </c>
      <c r="S20" s="35" t="str">
        <f>'1. Data - Facilities'!U20</f>
        <v>No - No Health Centerian</v>
      </c>
      <c r="T20" s="35" t="str">
        <f>'1. Data - Facilities'!V20</f>
        <v>No</v>
      </c>
      <c r="U20" s="35" t="str">
        <f>'1. Data - Facilities'!W20</f>
        <v>Integrated and routine</v>
      </c>
      <c r="V20" s="35" t="str">
        <f>'1. Data - Facilities'!X20</f>
        <v>Paper only</v>
      </c>
      <c r="W20" s="35" t="str">
        <f>'1. Data - Facilities'!Y20</f>
        <v>&gt;=90% on time</v>
      </c>
      <c r="X20" s="35" t="str">
        <f>'1. Data - Facilities'!Z20</f>
        <v>Yes - Inconsistently</v>
      </c>
      <c r="Y20" s="35" t="str">
        <f>'1. Data - Facilities'!AA20</f>
        <v>Yes - consistently</v>
      </c>
      <c r="Z20" s="35" t="str">
        <f>'1. Data - Facilities'!AB20</f>
        <v>Yes</v>
      </c>
      <c r="AA20" s="36">
        <f>'4. Aggregate - Literacy'!C20</f>
        <v>79</v>
      </c>
      <c r="AB20" s="36">
        <f>'4. Aggregate - Literacy'!B20</f>
        <v>7</v>
      </c>
      <c r="AC20" s="36">
        <f>'5. Aggregate - Sentiment'!C20</f>
        <v>7.3</v>
      </c>
      <c r="AD20" s="36">
        <f>'5. Aggregate - Sentiment'!B20</f>
        <v>4</v>
      </c>
      <c r="AE20" s="37">
        <f t="shared" si="2"/>
        <v>79</v>
      </c>
      <c r="AF20" s="37">
        <f t="shared" si="3"/>
        <v>4</v>
      </c>
      <c r="AG20" s="37" t="str">
        <f t="shared" si="4"/>
        <v>Moderate</v>
      </c>
      <c r="AH20" s="38">
        <f t="shared" si="5"/>
        <v>2</v>
      </c>
      <c r="AI20" s="38">
        <f t="shared" si="6"/>
        <v>2</v>
      </c>
      <c r="AJ20" s="38">
        <f t="shared" si="7"/>
        <v>3</v>
      </c>
      <c r="AK20" s="38">
        <f t="shared" si="8"/>
        <v>2</v>
      </c>
      <c r="AL20" s="38">
        <f t="shared" si="9"/>
        <v>2</v>
      </c>
      <c r="AM20" s="38">
        <f t="shared" si="10"/>
        <v>2</v>
      </c>
      <c r="AN20" s="35">
        <f t="shared" ref="AN20:AP20" si="37">IF(AH20=0,1,0)</f>
        <v>0</v>
      </c>
      <c r="AO20" s="35">
        <f t="shared" si="37"/>
        <v>0</v>
      </c>
      <c r="AP20" s="35">
        <f t="shared" si="37"/>
        <v>0</v>
      </c>
      <c r="AQ20" s="35">
        <f t="shared" si="12"/>
        <v>0</v>
      </c>
      <c r="AR20" s="35">
        <f t="shared" si="13"/>
        <v>0</v>
      </c>
      <c r="AS20" s="35">
        <f t="shared" si="14"/>
        <v>0</v>
      </c>
      <c r="AT20" s="35">
        <f t="shared" si="15"/>
        <v>0</v>
      </c>
      <c r="AU20" s="35" t="str">
        <f t="shared" si="16"/>
        <v/>
      </c>
      <c r="AV20" s="35" t="str">
        <f t="shared" si="17"/>
        <v/>
      </c>
      <c r="AW20" s="39">
        <f t="shared" si="18"/>
        <v>71</v>
      </c>
      <c r="AX20" s="39" t="str">
        <f t="shared" si="19"/>
        <v>Tier 2</v>
      </c>
      <c r="AY20" s="39" t="str">
        <f t="shared" si="20"/>
        <v>Wave 2</v>
      </c>
    </row>
    <row r="21" ht="15.75" customHeight="1">
      <c r="A21" s="34" t="str">
        <f>'1. Data - Facilities'!A21</f>
        <v>Karnplay Health Center</v>
      </c>
      <c r="B21" s="34" t="str">
        <f>'1. Data - Facilities'!B21</f>
        <v>Nimba</v>
      </c>
      <c r="C21" s="34" t="str">
        <f>'1. Data - Facilities'!C21</f>
        <v>Health Center</v>
      </c>
      <c r="D21" s="35" t="str">
        <f>'1. Data - Facilities'!F21</f>
        <v>Grid</v>
      </c>
      <c r="E21" s="35">
        <f>'1. Data - Facilities'!G21</f>
        <v>53</v>
      </c>
      <c r="F21" s="35" t="str">
        <f>'1. Data - Facilities'!H21</f>
        <v/>
      </c>
      <c r="G21" s="35" t="str">
        <f>'1. Data - Facilities'!I21</f>
        <v>Multiple backup systems (specify below)</v>
      </c>
      <c r="H21" s="35" t="str">
        <f>'1. Data - Facilities'!J21</f>
        <v/>
      </c>
      <c r="I21" s="35" t="str">
        <f>'1. Data - Facilities'!K21</f>
        <v/>
      </c>
      <c r="J21" s="35" t="str">
        <f>'1. Data - Facilities'!L21</f>
        <v/>
      </c>
      <c r="K21" s="35" t="str">
        <f>'1. Data - Facilities'!M21</f>
        <v/>
      </c>
      <c r="L21" s="35" t="str">
        <f>'1. Data - Facilities'!N21</f>
        <v/>
      </c>
      <c r="M21" s="35" t="str">
        <f>'1. Data - Facilities'!O21</f>
        <v>None (below -100 dBm or no signal)</v>
      </c>
      <c r="N21" s="35">
        <f>'1. Data - Facilities'!P21</f>
        <v>4</v>
      </c>
      <c r="O21" s="35">
        <f>'1. Data - Facilities'!Q21</f>
        <v>0</v>
      </c>
      <c r="P21" s="35">
        <f>'1. Data - Facilities'!R21</f>
        <v>2</v>
      </c>
      <c r="Q21" s="35">
        <f>'1. Data - Facilities'!S21</f>
        <v>0</v>
      </c>
      <c r="R21" s="35">
        <f>'1. Data - Facilities'!T21</f>
        <v>82</v>
      </c>
      <c r="S21" s="35" t="str">
        <f>'1. Data - Facilities'!U21</f>
        <v>No - No Health Centerian</v>
      </c>
      <c r="T21" s="35" t="str">
        <f>'1. Data - Facilities'!V21</f>
        <v>No</v>
      </c>
      <c r="U21" s="35" t="str">
        <f>'1. Data - Facilities'!W21</f>
        <v>Exists but inconsistent usage</v>
      </c>
      <c r="V21" s="35" t="str">
        <f>'1. Data - Facilities'!X21</f>
        <v>Paper only</v>
      </c>
      <c r="W21" s="35" t="str">
        <f>'1. Data - Facilities'!Y21</f>
        <v>70-89% on time</v>
      </c>
      <c r="X21" s="35" t="str">
        <f>'1. Data - Facilities'!Z21</f>
        <v>Yes - routinely</v>
      </c>
      <c r="Y21" s="35" t="str">
        <f>'1. Data - Facilities'!AA21</f>
        <v>Yes - consistently</v>
      </c>
      <c r="Z21" s="35" t="str">
        <f>'1. Data - Facilities'!AB21</f>
        <v>Yes</v>
      </c>
      <c r="AA21" s="36">
        <f>'4. Aggregate - Literacy'!C21</f>
        <v>82</v>
      </c>
      <c r="AB21" s="36">
        <f>'4. Aggregate - Literacy'!B21</f>
        <v>5</v>
      </c>
      <c r="AC21" s="36">
        <f>'5. Aggregate - Sentiment'!C21</f>
        <v>10</v>
      </c>
      <c r="AD21" s="36">
        <f>'5. Aggregate - Sentiment'!B21</f>
        <v>5</v>
      </c>
      <c r="AE21" s="37">
        <f t="shared" si="2"/>
        <v>82</v>
      </c>
      <c r="AF21" s="37">
        <f t="shared" si="3"/>
        <v>6</v>
      </c>
      <c r="AG21" s="37" t="str">
        <f t="shared" si="4"/>
        <v>Mobile-only</v>
      </c>
      <c r="AH21" s="38">
        <f t="shared" si="5"/>
        <v>2</v>
      </c>
      <c r="AI21" s="38">
        <f t="shared" si="6"/>
        <v>0</v>
      </c>
      <c r="AJ21" s="38">
        <f t="shared" si="7"/>
        <v>2</v>
      </c>
      <c r="AK21" s="38">
        <f t="shared" si="8"/>
        <v>2</v>
      </c>
      <c r="AL21" s="38">
        <f t="shared" si="9"/>
        <v>2</v>
      </c>
      <c r="AM21" s="38">
        <f t="shared" si="10"/>
        <v>2</v>
      </c>
      <c r="AN21" s="35">
        <f t="shared" ref="AN21:AP21" si="38">IF(AH21=0,1,0)</f>
        <v>0</v>
      </c>
      <c r="AO21" s="35">
        <f t="shared" si="38"/>
        <v>1</v>
      </c>
      <c r="AP21" s="35">
        <f t="shared" si="38"/>
        <v>0</v>
      </c>
      <c r="AQ21" s="35">
        <f t="shared" si="12"/>
        <v>0</v>
      </c>
      <c r="AR21" s="35">
        <f t="shared" si="13"/>
        <v>0</v>
      </c>
      <c r="AS21" s="35">
        <f t="shared" si="14"/>
        <v>0</v>
      </c>
      <c r="AT21" s="35">
        <f t="shared" si="15"/>
        <v>1</v>
      </c>
      <c r="AU21" s="35" t="str">
        <f t="shared" si="16"/>
        <v>BLK-02</v>
      </c>
      <c r="AV21" s="35" t="str">
        <f t="shared" si="17"/>
        <v>BLK-02: No connectivity / &lt;2 Mbps |</v>
      </c>
      <c r="AW21" s="39">
        <f t="shared" si="18"/>
        <v>54.7</v>
      </c>
      <c r="AX21" s="39" t="str">
        <f t="shared" si="19"/>
        <v>Tier 3</v>
      </c>
      <c r="AY21" s="39" t="str">
        <f t="shared" si="20"/>
        <v>—</v>
      </c>
    </row>
    <row r="22" ht="15.75" customHeight="1">
      <c r="A22" s="34" t="str">
        <f>'1. Data - Facilities'!A22</f>
        <v>Konia Health Center</v>
      </c>
      <c r="B22" s="34" t="str">
        <f>'1. Data - Facilities'!B22</f>
        <v>Lofa</v>
      </c>
      <c r="C22" s="34" t="str">
        <f>'1. Data - Facilities'!C22</f>
        <v>Health Center</v>
      </c>
      <c r="D22" s="35" t="str">
        <f>'1. Data - Facilities'!F22</f>
        <v>Solar / Inverter</v>
      </c>
      <c r="E22" s="35">
        <f>'1. Data - Facilities'!G22</f>
        <v>0</v>
      </c>
      <c r="F22" s="35" t="str">
        <f>'1. Data - Facilities'!H22</f>
        <v/>
      </c>
      <c r="G22" s="35" t="str">
        <f>'1. Data - Facilities'!I22</f>
        <v/>
      </c>
      <c r="H22" s="35" t="str">
        <f>'1. Data - Facilities'!J22</f>
        <v/>
      </c>
      <c r="I22" s="35" t="str">
        <f>'1. Data - Facilities'!K22</f>
        <v/>
      </c>
      <c r="J22" s="35" t="str">
        <f>'1. Data - Facilities'!L22</f>
        <v/>
      </c>
      <c r="K22" s="35" t="str">
        <f>'1. Data - Facilities'!M22</f>
        <v/>
      </c>
      <c r="L22" s="35" t="str">
        <f>'1. Data - Facilities'!N22</f>
        <v/>
      </c>
      <c r="M22" s="35" t="str">
        <f>'1. Data - Facilities'!O22</f>
        <v>None (below -100 dBm or no signal)</v>
      </c>
      <c r="N22" s="35">
        <f>'1. Data - Facilities'!P22</f>
        <v>3</v>
      </c>
      <c r="O22" s="35">
        <f>'1. Data - Facilities'!Q22</f>
        <v>1</v>
      </c>
      <c r="P22" s="35">
        <f>'1. Data - Facilities'!R22</f>
        <v>0</v>
      </c>
      <c r="Q22" s="35">
        <f>'1. Data - Facilities'!S22</f>
        <v>0</v>
      </c>
      <c r="R22" s="35">
        <f>'1. Data - Facilities'!T22</f>
        <v>70</v>
      </c>
      <c r="S22" s="35" t="str">
        <f>'1. Data - Facilities'!U22</f>
        <v>No - No Health Centerian</v>
      </c>
      <c r="T22" s="35" t="str">
        <f>'1. Data - Facilities'!V22</f>
        <v>No</v>
      </c>
      <c r="U22" s="35" t="str">
        <f>'1. Data - Facilities'!W22</f>
        <v>Exists but inconsistent usage</v>
      </c>
      <c r="V22" s="35" t="str">
        <f>'1. Data - Facilities'!X22</f>
        <v>Paper only</v>
      </c>
      <c r="W22" s="35" t="str">
        <f>'1. Data - Facilities'!Y22</f>
        <v>&gt;=90% on time</v>
      </c>
      <c r="X22" s="35" t="str">
        <f>'1. Data - Facilities'!Z22</f>
        <v>Yes - routinely</v>
      </c>
      <c r="Y22" s="35" t="str">
        <f>'1. Data - Facilities'!AA22</f>
        <v>Yes - consistently</v>
      </c>
      <c r="Z22" s="35" t="str">
        <f>'1. Data - Facilities'!AB22</f>
        <v>Yes</v>
      </c>
      <c r="AA22" s="36">
        <f>'4. Aggregate - Literacy'!C22</f>
        <v>73</v>
      </c>
      <c r="AB22" s="36">
        <f>'4. Aggregate - Literacy'!B22</f>
        <v>6</v>
      </c>
      <c r="AC22" s="36">
        <f>'5. Aggregate - Sentiment'!C22</f>
        <v>9.6</v>
      </c>
      <c r="AD22" s="36">
        <f>'5. Aggregate - Sentiment'!B22</f>
        <v>7</v>
      </c>
      <c r="AE22" s="37">
        <f t="shared" si="2"/>
        <v>73</v>
      </c>
      <c r="AF22" s="37">
        <f t="shared" si="3"/>
        <v>4</v>
      </c>
      <c r="AG22" s="37" t="str">
        <f t="shared" si="4"/>
        <v>Mobile-only</v>
      </c>
      <c r="AH22" s="38">
        <f t="shared" si="5"/>
        <v>2</v>
      </c>
      <c r="AI22" s="38">
        <f t="shared" si="6"/>
        <v>0</v>
      </c>
      <c r="AJ22" s="38">
        <f t="shared" si="7"/>
        <v>2</v>
      </c>
      <c r="AK22" s="38">
        <f t="shared" si="8"/>
        <v>2</v>
      </c>
      <c r="AL22" s="38">
        <f t="shared" si="9"/>
        <v>2</v>
      </c>
      <c r="AM22" s="38">
        <f t="shared" si="10"/>
        <v>2</v>
      </c>
      <c r="AN22" s="35">
        <f t="shared" ref="AN22:AP22" si="39">IF(AH22=0,1,0)</f>
        <v>0</v>
      </c>
      <c r="AO22" s="35">
        <f t="shared" si="39"/>
        <v>1</v>
      </c>
      <c r="AP22" s="35">
        <f t="shared" si="39"/>
        <v>0</v>
      </c>
      <c r="AQ22" s="35">
        <f t="shared" si="12"/>
        <v>0</v>
      </c>
      <c r="AR22" s="35">
        <f t="shared" si="13"/>
        <v>0</v>
      </c>
      <c r="AS22" s="35">
        <f t="shared" si="14"/>
        <v>0</v>
      </c>
      <c r="AT22" s="35">
        <f t="shared" si="15"/>
        <v>1</v>
      </c>
      <c r="AU22" s="35" t="str">
        <f t="shared" si="16"/>
        <v>BLK-02</v>
      </c>
      <c r="AV22" s="35" t="str">
        <f t="shared" si="17"/>
        <v>BLK-02: No connectivity / &lt;2 Mbps |</v>
      </c>
      <c r="AW22" s="39">
        <f t="shared" si="18"/>
        <v>54.7</v>
      </c>
      <c r="AX22" s="39" t="str">
        <f t="shared" si="19"/>
        <v>Tier 3</v>
      </c>
      <c r="AY22" s="39" t="str">
        <f t="shared" si="20"/>
        <v>—</v>
      </c>
    </row>
    <row r="23" ht="15.75" customHeight="1">
      <c r="A23" s="34" t="str">
        <f>'1. Data - Facilities'!A23</f>
        <v>Konobo Health Center</v>
      </c>
      <c r="B23" s="34" t="str">
        <f>'1. Data - Facilities'!B23</f>
        <v>Grand Gedeh</v>
      </c>
      <c r="C23" s="34" t="str">
        <f>'1. Data - Facilities'!C23</f>
        <v>Health Center</v>
      </c>
      <c r="D23" s="35" t="str">
        <f>'1. Data - Facilities'!F23</f>
        <v>Solar / Inverter</v>
      </c>
      <c r="E23" s="35">
        <f>'1. Data - Facilities'!G23</f>
        <v>40</v>
      </c>
      <c r="F23" s="35" t="str">
        <f>'1. Data - Facilities'!H23</f>
        <v/>
      </c>
      <c r="G23" s="35" t="str">
        <f>'1. Data - Facilities'!I23</f>
        <v>Solar / Inverter only</v>
      </c>
      <c r="H23" s="35" t="str">
        <f>'1. Data - Facilities'!J23</f>
        <v/>
      </c>
      <c r="I23" s="35" t="str">
        <f>'1. Data - Facilities'!K23</f>
        <v/>
      </c>
      <c r="J23" s="35" t="str">
        <f>'1. Data - Facilities'!L23</f>
        <v/>
      </c>
      <c r="K23" s="35" t="str">
        <f>'1. Data - Facilities'!M23</f>
        <v/>
      </c>
      <c r="L23" s="35" t="str">
        <f>'1. Data - Facilities'!N23</f>
        <v/>
      </c>
      <c r="M23" s="35" t="str">
        <f>'1. Data - Facilities'!O23</f>
        <v>Weak (-85 to -100 dBm)</v>
      </c>
      <c r="N23" s="35">
        <f>'1. Data - Facilities'!P23</f>
        <v>0</v>
      </c>
      <c r="O23" s="35">
        <f>'1. Data - Facilities'!Q23</f>
        <v>0</v>
      </c>
      <c r="P23" s="35">
        <f>'1. Data - Facilities'!R23</f>
        <v>0</v>
      </c>
      <c r="Q23" s="35">
        <f>'1. Data - Facilities'!S23</f>
        <v>0</v>
      </c>
      <c r="R23" s="35">
        <f>'1. Data - Facilities'!T23</f>
        <v>66</v>
      </c>
      <c r="S23" s="35" t="str">
        <f>'1. Data - Facilities'!U23</f>
        <v>No - No Health Centerian</v>
      </c>
      <c r="T23" s="35" t="str">
        <f>'1. Data - Facilities'!V23</f>
        <v>No</v>
      </c>
      <c r="U23" s="35" t="str">
        <f>'1. Data - Facilities'!W23</f>
        <v/>
      </c>
      <c r="V23" s="35" t="str">
        <f>'1. Data - Facilities'!X23</f>
        <v>Paper only</v>
      </c>
      <c r="W23" s="35" t="str">
        <f>'1. Data - Facilities'!Y23</f>
        <v>&gt;=90% on time</v>
      </c>
      <c r="X23" s="35" t="str">
        <f>'1. Data - Facilities'!Z23</f>
        <v>No unique ID</v>
      </c>
      <c r="Y23" s="35" t="str">
        <f>'1. Data - Facilities'!AA23</f>
        <v>No</v>
      </c>
      <c r="Z23" s="35" t="str">
        <f>'1. Data - Facilities'!AB23</f>
        <v>Yes</v>
      </c>
      <c r="AA23" s="36">
        <f>'4. Aggregate - Literacy'!C23</f>
        <v>66</v>
      </c>
      <c r="AB23" s="36">
        <f>'4. Aggregate - Literacy'!B23</f>
        <v>5</v>
      </c>
      <c r="AC23" s="36">
        <f>'5. Aggregate - Sentiment'!C23</f>
        <v>8.2</v>
      </c>
      <c r="AD23" s="36">
        <f>'5. Aggregate - Sentiment'!B23</f>
        <v>5</v>
      </c>
      <c r="AE23" s="37">
        <f t="shared" si="2"/>
        <v>66</v>
      </c>
      <c r="AF23" s="37">
        <f t="shared" si="3"/>
        <v>0</v>
      </c>
      <c r="AG23" s="37" t="str">
        <f t="shared" si="4"/>
        <v>Mobile-only</v>
      </c>
      <c r="AH23" s="38">
        <f t="shared" si="5"/>
        <v>2</v>
      </c>
      <c r="AI23" s="38">
        <f t="shared" si="6"/>
        <v>1</v>
      </c>
      <c r="AJ23" s="38">
        <f t="shared" si="7"/>
        <v>0</v>
      </c>
      <c r="AK23" s="38">
        <f t="shared" si="8"/>
        <v>2</v>
      </c>
      <c r="AL23" s="38">
        <f t="shared" si="9"/>
        <v>2</v>
      </c>
      <c r="AM23" s="38">
        <f t="shared" si="10"/>
        <v>1</v>
      </c>
      <c r="AN23" s="35">
        <f t="shared" ref="AN23:AP23" si="40">IF(AH23=0,1,0)</f>
        <v>0</v>
      </c>
      <c r="AO23" s="35">
        <f t="shared" si="40"/>
        <v>0</v>
      </c>
      <c r="AP23" s="35">
        <f t="shared" si="40"/>
        <v>1</v>
      </c>
      <c r="AQ23" s="35">
        <f t="shared" si="12"/>
        <v>1</v>
      </c>
      <c r="AR23" s="35">
        <f t="shared" si="13"/>
        <v>1</v>
      </c>
      <c r="AS23" s="35">
        <f t="shared" si="14"/>
        <v>0</v>
      </c>
      <c r="AT23" s="35">
        <f t="shared" si="15"/>
        <v>3</v>
      </c>
      <c r="AU23" s="35" t="str">
        <f t="shared" si="16"/>
        <v>BLK-03 BLK-04 BLK-05</v>
      </c>
      <c r="AV23" s="35" t="str">
        <f t="shared" si="17"/>
        <v>BLK-03: Zero computers or tablets | BLK-04: Not reporting to DHIS2 | BLK-05: No IT support |</v>
      </c>
      <c r="AW23" s="39">
        <f t="shared" si="18"/>
        <v>48.7</v>
      </c>
      <c r="AX23" s="39" t="str">
        <f t="shared" si="19"/>
        <v>Tier 3</v>
      </c>
      <c r="AY23" s="39" t="str">
        <f t="shared" si="20"/>
        <v>—</v>
      </c>
    </row>
    <row r="24" ht="15.75" customHeight="1">
      <c r="A24" s="34" t="str">
        <f>'1. Data - Facilities'!A24</f>
        <v>Lofa Bridge Health Center</v>
      </c>
      <c r="B24" s="34" t="str">
        <f>'1. Data - Facilities'!B24</f>
        <v>Grand Cape Mount</v>
      </c>
      <c r="C24" s="34" t="str">
        <f>'1. Data - Facilities'!C24</f>
        <v>Health Center</v>
      </c>
      <c r="D24" s="35" t="str">
        <f>'1. Data - Facilities'!F24</f>
        <v>Solar / Inverter</v>
      </c>
      <c r="E24" s="35">
        <f>'1. Data - Facilities'!G24</f>
        <v>24</v>
      </c>
      <c r="F24" s="35" t="str">
        <f>'1. Data - Facilities'!H24</f>
        <v>Some workstations</v>
      </c>
      <c r="G24" s="35" t="str">
        <f>'1. Data - Facilities'!I24</f>
        <v/>
      </c>
      <c r="H24" s="35" t="str">
        <f>'1. Data - Facilities'!J24</f>
        <v/>
      </c>
      <c r="I24" s="35" t="str">
        <f>'1. Data - Facilities'!K24</f>
        <v/>
      </c>
      <c r="J24" s="35" t="str">
        <f>'1. Data - Facilities'!L24</f>
        <v/>
      </c>
      <c r="K24" s="35" t="str">
        <f>'1. Data - Facilities'!M24</f>
        <v/>
      </c>
      <c r="L24" s="35" t="str">
        <f>'1. Data - Facilities'!N24</f>
        <v/>
      </c>
      <c r="M24" s="35" t="str">
        <f>'1. Data - Facilities'!O24</f>
        <v>Moderate (-70 to -85 dBm)</v>
      </c>
      <c r="N24" s="35">
        <f>'1. Data - Facilities'!P24</f>
        <v>0</v>
      </c>
      <c r="O24" s="35">
        <f>'1. Data - Facilities'!Q24</f>
        <v>0</v>
      </c>
      <c r="P24" s="35">
        <f>'1. Data - Facilities'!R24</f>
        <v>0</v>
      </c>
      <c r="Q24" s="35">
        <f>'1. Data - Facilities'!S24</f>
        <v>0</v>
      </c>
      <c r="R24" s="35">
        <f>'1. Data - Facilities'!T24</f>
        <v>76</v>
      </c>
      <c r="S24" s="35" t="str">
        <f>'1. Data - Facilities'!U24</f>
        <v>No - No Health Centerian</v>
      </c>
      <c r="T24" s="35" t="str">
        <f>'1. Data - Facilities'!V24</f>
        <v>No</v>
      </c>
      <c r="U24" s="35" t="str">
        <f>'1. Data - Facilities'!W24</f>
        <v>Integrated and routine</v>
      </c>
      <c r="V24" s="35" t="str">
        <f>'1. Data - Facilities'!X24</f>
        <v>Paper only</v>
      </c>
      <c r="W24" s="35" t="str">
        <f>'1. Data - Facilities'!Y24</f>
        <v>70-89% on time</v>
      </c>
      <c r="X24" s="35" t="str">
        <f>'1. Data - Facilities'!Z24</f>
        <v>Yes - routinely</v>
      </c>
      <c r="Y24" s="35" t="str">
        <f>'1. Data - Facilities'!AA24</f>
        <v>Yes - consistently</v>
      </c>
      <c r="Z24" s="35" t="str">
        <f>'1. Data - Facilities'!AB24</f>
        <v>Yes</v>
      </c>
      <c r="AA24" s="36">
        <f>'4. Aggregate - Literacy'!C24</f>
        <v>76</v>
      </c>
      <c r="AB24" s="36">
        <f>'4. Aggregate - Literacy'!B24</f>
        <v>5</v>
      </c>
      <c r="AC24" s="36">
        <f>'5. Aggregate - Sentiment'!C24</f>
        <v>6.2</v>
      </c>
      <c r="AD24" s="36">
        <f>'5. Aggregate - Sentiment'!B24</f>
        <v>5</v>
      </c>
      <c r="AE24" s="37">
        <f t="shared" si="2"/>
        <v>76</v>
      </c>
      <c r="AF24" s="37">
        <f t="shared" si="3"/>
        <v>0</v>
      </c>
      <c r="AG24" s="37" t="str">
        <f t="shared" si="4"/>
        <v>Mobile-only</v>
      </c>
      <c r="AH24" s="38">
        <f t="shared" si="5"/>
        <v>1</v>
      </c>
      <c r="AI24" s="38">
        <f t="shared" si="6"/>
        <v>2</v>
      </c>
      <c r="AJ24" s="38">
        <f t="shared" si="7"/>
        <v>0</v>
      </c>
      <c r="AK24" s="38">
        <f t="shared" si="8"/>
        <v>2</v>
      </c>
      <c r="AL24" s="38">
        <f t="shared" si="9"/>
        <v>2</v>
      </c>
      <c r="AM24" s="38">
        <f t="shared" si="10"/>
        <v>2</v>
      </c>
      <c r="AN24" s="35">
        <f t="shared" ref="AN24:AP24" si="41">IF(AH24=0,1,0)</f>
        <v>0</v>
      </c>
      <c r="AO24" s="35">
        <f t="shared" si="41"/>
        <v>0</v>
      </c>
      <c r="AP24" s="35">
        <f t="shared" si="41"/>
        <v>1</v>
      </c>
      <c r="AQ24" s="35">
        <f t="shared" si="12"/>
        <v>0</v>
      </c>
      <c r="AR24" s="35">
        <f t="shared" si="13"/>
        <v>0</v>
      </c>
      <c r="AS24" s="35">
        <f t="shared" si="14"/>
        <v>0</v>
      </c>
      <c r="AT24" s="35">
        <f t="shared" si="15"/>
        <v>1</v>
      </c>
      <c r="AU24" s="35" t="str">
        <f t="shared" si="16"/>
        <v>BLK-03</v>
      </c>
      <c r="AV24" s="35" t="str">
        <f t="shared" si="17"/>
        <v>BLK-03: Zero computers or tablets |</v>
      </c>
      <c r="AW24" s="39">
        <f t="shared" si="18"/>
        <v>50.7</v>
      </c>
      <c r="AX24" s="39" t="str">
        <f t="shared" si="19"/>
        <v>Tier 3</v>
      </c>
      <c r="AY24" s="39" t="str">
        <f t="shared" si="20"/>
        <v>—</v>
      </c>
    </row>
    <row r="25" ht="15.75" customHeight="1">
      <c r="A25" s="34" t="str">
        <f>'1. Data - Facilities'!A25</f>
        <v>Marshall Health Center</v>
      </c>
      <c r="B25" s="34" t="str">
        <f>'1. Data - Facilities'!B25</f>
        <v>Margibi</v>
      </c>
      <c r="C25" s="34" t="str">
        <f>'1. Data - Facilities'!C25</f>
        <v>Health Center</v>
      </c>
      <c r="D25" s="35" t="str">
        <f>'1. Data - Facilities'!F25</f>
        <v>Grid</v>
      </c>
      <c r="E25" s="35">
        <f>'1. Data - Facilities'!G25</f>
        <v>12</v>
      </c>
      <c r="F25" s="35" t="str">
        <f>'1. Data - Facilities'!H25</f>
        <v/>
      </c>
      <c r="G25" s="35" t="str">
        <f>'1. Data - Facilities'!I25</f>
        <v>Generator only</v>
      </c>
      <c r="H25" s="35" t="str">
        <f>'1. Data - Facilities'!J25</f>
        <v/>
      </c>
      <c r="I25" s="35" t="str">
        <f>'1. Data - Facilities'!K25</f>
        <v/>
      </c>
      <c r="J25" s="35" t="str">
        <f>'1. Data - Facilities'!L25</f>
        <v/>
      </c>
      <c r="K25" s="35" t="str">
        <f>'1. Data - Facilities'!M25</f>
        <v/>
      </c>
      <c r="L25" s="35" t="str">
        <f>'1. Data - Facilities'!N25</f>
        <v/>
      </c>
      <c r="M25" s="35" t="str">
        <f>'1. Data - Facilities'!O25</f>
        <v>Moderate (-70 to -85 dBm)</v>
      </c>
      <c r="N25" s="35">
        <f>'1. Data - Facilities'!P25</f>
        <v>0</v>
      </c>
      <c r="O25" s="35">
        <f>'1. Data - Facilities'!Q25</f>
        <v>0</v>
      </c>
      <c r="P25" s="35">
        <f>'1. Data - Facilities'!R25</f>
        <v>0</v>
      </c>
      <c r="Q25" s="35">
        <f>'1. Data - Facilities'!S25</f>
        <v>0</v>
      </c>
      <c r="R25" s="35">
        <f>'1. Data - Facilities'!T25</f>
        <v>73</v>
      </c>
      <c r="S25" s="35" t="str">
        <f>'1. Data - Facilities'!U25</f>
        <v>No - No Health Centerian</v>
      </c>
      <c r="T25" s="35" t="str">
        <f>'1. Data - Facilities'!V25</f>
        <v>No</v>
      </c>
      <c r="U25" s="35" t="str">
        <f>'1. Data - Facilities'!W25</f>
        <v/>
      </c>
      <c r="V25" s="35" t="str">
        <f>'1. Data - Facilities'!X25</f>
        <v>Paper only</v>
      </c>
      <c r="W25" s="35" t="str">
        <f>'1. Data - Facilities'!Y25</f>
        <v>&gt;=90% on time</v>
      </c>
      <c r="X25" s="35" t="str">
        <f>'1. Data - Facilities'!Z25</f>
        <v>Yes - routinely</v>
      </c>
      <c r="Y25" s="35" t="str">
        <f>'1. Data - Facilities'!AA25</f>
        <v>Yes - consistently</v>
      </c>
      <c r="Z25" s="35" t="str">
        <f>'1. Data - Facilities'!AB25</f>
        <v>Yes</v>
      </c>
      <c r="AA25" s="36">
        <f>'4. Aggregate - Literacy'!C25</f>
        <v>73</v>
      </c>
      <c r="AB25" s="36">
        <f>'4. Aggregate - Literacy'!B25</f>
        <v>3</v>
      </c>
      <c r="AC25" s="36">
        <f>'5. Aggregate - Sentiment'!C25</f>
        <v>7.4</v>
      </c>
      <c r="AD25" s="36">
        <f>'5. Aggregate - Sentiment'!B25</f>
        <v>5</v>
      </c>
      <c r="AE25" s="37">
        <f t="shared" si="2"/>
        <v>73</v>
      </c>
      <c r="AF25" s="37">
        <f t="shared" si="3"/>
        <v>0</v>
      </c>
      <c r="AG25" s="37" t="str">
        <f t="shared" si="4"/>
        <v>Mobile-only</v>
      </c>
      <c r="AH25" s="38">
        <f t="shared" si="5"/>
        <v>2</v>
      </c>
      <c r="AI25" s="38">
        <f t="shared" si="6"/>
        <v>2</v>
      </c>
      <c r="AJ25" s="38">
        <f t="shared" si="7"/>
        <v>0</v>
      </c>
      <c r="AK25" s="38">
        <f t="shared" si="8"/>
        <v>2</v>
      </c>
      <c r="AL25" s="38">
        <f t="shared" si="9"/>
        <v>2</v>
      </c>
      <c r="AM25" s="38">
        <f t="shared" si="10"/>
        <v>2</v>
      </c>
      <c r="AN25" s="35">
        <f t="shared" ref="AN25:AP25" si="42">IF(AH25=0,1,0)</f>
        <v>0</v>
      </c>
      <c r="AO25" s="35">
        <f t="shared" si="42"/>
        <v>0</v>
      </c>
      <c r="AP25" s="35">
        <f t="shared" si="42"/>
        <v>1</v>
      </c>
      <c r="AQ25" s="35">
        <f t="shared" si="12"/>
        <v>0</v>
      </c>
      <c r="AR25" s="35">
        <f t="shared" si="13"/>
        <v>1</v>
      </c>
      <c r="AS25" s="35">
        <f t="shared" si="14"/>
        <v>0</v>
      </c>
      <c r="AT25" s="35">
        <f t="shared" si="15"/>
        <v>2</v>
      </c>
      <c r="AU25" s="35" t="str">
        <f t="shared" si="16"/>
        <v>BLK-03 BLK-05</v>
      </c>
      <c r="AV25" s="35" t="str">
        <f t="shared" si="17"/>
        <v>BLK-03: Zero computers or tablets | BLK-05: No IT support |</v>
      </c>
      <c r="AW25" s="39">
        <f t="shared" si="18"/>
        <v>58</v>
      </c>
      <c r="AX25" s="39" t="str">
        <f t="shared" si="19"/>
        <v>Tier 3</v>
      </c>
      <c r="AY25" s="39" t="str">
        <f t="shared" si="20"/>
        <v>—</v>
      </c>
    </row>
    <row r="26" ht="15.75" customHeight="1">
      <c r="A26" s="34" t="str">
        <f>'1. Data - Facilities'!A26</f>
        <v>Massaquoi Town Health Center</v>
      </c>
      <c r="B26" s="34" t="str">
        <f>'1. Data - Facilities'!B26</f>
        <v>Margibi</v>
      </c>
      <c r="C26" s="34" t="str">
        <f>'1. Data - Facilities'!C26</f>
        <v>Health Center</v>
      </c>
      <c r="D26" s="35" t="str">
        <f>'1. Data - Facilities'!F26</f>
        <v>Solar / Inverter</v>
      </c>
      <c r="E26" s="35">
        <f>'1. Data - Facilities'!G26</f>
        <v>10</v>
      </c>
      <c r="F26" s="35" t="str">
        <f>'1. Data - Facilities'!H26</f>
        <v/>
      </c>
      <c r="G26" s="35" t="str">
        <f>'1. Data - Facilities'!I26</f>
        <v>Multiple backup systems (specify below)</v>
      </c>
      <c r="H26" s="35" t="str">
        <f>'1. Data - Facilities'!J26</f>
        <v/>
      </c>
      <c r="I26" s="35" t="str">
        <f>'1. Data - Facilities'!K26</f>
        <v/>
      </c>
      <c r="J26" s="35" t="str">
        <f>'1. Data - Facilities'!L26</f>
        <v/>
      </c>
      <c r="K26" s="35" t="str">
        <f>'1. Data - Facilities'!M26</f>
        <v/>
      </c>
      <c r="L26" s="35" t="str">
        <f>'1. Data - Facilities'!N26</f>
        <v/>
      </c>
      <c r="M26" s="35" t="str">
        <f>'1. Data - Facilities'!O26</f>
        <v>Strong (above -70 dBm)</v>
      </c>
      <c r="N26" s="35">
        <f>'1. Data - Facilities'!P26</f>
        <v>0</v>
      </c>
      <c r="O26" s="35">
        <f>'1. Data - Facilities'!Q26</f>
        <v>0</v>
      </c>
      <c r="P26" s="35">
        <f>'1. Data - Facilities'!R26</f>
        <v>1</v>
      </c>
      <c r="Q26" s="35">
        <f>'1. Data - Facilities'!S26</f>
        <v>0</v>
      </c>
      <c r="R26" s="35">
        <f>'1. Data - Facilities'!T26</f>
        <v>60</v>
      </c>
      <c r="S26" s="35" t="str">
        <f>'1. Data - Facilities'!U26</f>
        <v>No - No Health Centerian</v>
      </c>
      <c r="T26" s="35" t="str">
        <f>'1. Data - Facilities'!V26</f>
        <v>No</v>
      </c>
      <c r="U26" s="35" t="str">
        <f>'1. Data - Facilities'!W26</f>
        <v>Integrated and routine</v>
      </c>
      <c r="V26" s="35" t="str">
        <f>'1. Data - Facilities'!X26</f>
        <v>Paper only</v>
      </c>
      <c r="W26" s="35" t="str">
        <f>'1. Data - Facilities'!Y26</f>
        <v>&gt;=90% on time</v>
      </c>
      <c r="X26" s="35" t="str">
        <f>'1. Data - Facilities'!Z26</f>
        <v>Yes - Inconsistently</v>
      </c>
      <c r="Y26" s="35" t="str">
        <f>'1. Data - Facilities'!AA26</f>
        <v>Yes - consistently</v>
      </c>
      <c r="Z26" s="35" t="str">
        <f>'1. Data - Facilities'!AB26</f>
        <v>Yes</v>
      </c>
      <c r="AA26" s="36">
        <f>'4. Aggregate - Literacy'!C26</f>
        <v>65</v>
      </c>
      <c r="AB26" s="36">
        <f>'4. Aggregate - Literacy'!B26</f>
        <v>4</v>
      </c>
      <c r="AC26" s="36">
        <f>'5. Aggregate - Sentiment'!C26</f>
        <v>7.6</v>
      </c>
      <c r="AD26" s="36">
        <f>'5. Aggregate - Sentiment'!B26</f>
        <v>5</v>
      </c>
      <c r="AE26" s="37">
        <f t="shared" si="2"/>
        <v>65</v>
      </c>
      <c r="AF26" s="37">
        <f t="shared" si="3"/>
        <v>1</v>
      </c>
      <c r="AG26" s="37" t="str">
        <f t="shared" si="4"/>
        <v>Mobile-only</v>
      </c>
      <c r="AH26" s="38">
        <f t="shared" si="5"/>
        <v>2</v>
      </c>
      <c r="AI26" s="38">
        <f t="shared" si="6"/>
        <v>2</v>
      </c>
      <c r="AJ26" s="38">
        <f t="shared" si="7"/>
        <v>1</v>
      </c>
      <c r="AK26" s="38">
        <f t="shared" si="8"/>
        <v>2</v>
      </c>
      <c r="AL26" s="38">
        <f t="shared" si="9"/>
        <v>2</v>
      </c>
      <c r="AM26" s="38">
        <f t="shared" si="10"/>
        <v>2</v>
      </c>
      <c r="AN26" s="35">
        <f t="shared" ref="AN26:AP26" si="43">IF(AH26=0,1,0)</f>
        <v>0</v>
      </c>
      <c r="AO26" s="35">
        <f t="shared" si="43"/>
        <v>0</v>
      </c>
      <c r="AP26" s="35">
        <f t="shared" si="43"/>
        <v>0</v>
      </c>
      <c r="AQ26" s="35">
        <f t="shared" si="12"/>
        <v>0</v>
      </c>
      <c r="AR26" s="35">
        <f t="shared" si="13"/>
        <v>0</v>
      </c>
      <c r="AS26" s="35">
        <f t="shared" si="14"/>
        <v>0</v>
      </c>
      <c r="AT26" s="35">
        <f t="shared" si="15"/>
        <v>0</v>
      </c>
      <c r="AU26" s="35" t="str">
        <f t="shared" si="16"/>
        <v/>
      </c>
      <c r="AV26" s="35" t="str">
        <f t="shared" si="17"/>
        <v/>
      </c>
      <c r="AW26" s="39">
        <f t="shared" si="18"/>
        <v>62.3</v>
      </c>
      <c r="AX26" s="39" t="str">
        <f t="shared" si="19"/>
        <v>Tier 2</v>
      </c>
      <c r="AY26" s="39" t="str">
        <f t="shared" si="20"/>
        <v>Wave 2</v>
      </c>
    </row>
    <row r="27" ht="15.75" customHeight="1">
      <c r="A27" s="34" t="str">
        <f>'1. Data - Facilities'!A27</f>
        <v>New Georgia Community Health Center</v>
      </c>
      <c r="B27" s="34" t="str">
        <f>'1. Data - Facilities'!B27</f>
        <v>Montserrado</v>
      </c>
      <c r="C27" s="34" t="str">
        <f>'1. Data - Facilities'!C27</f>
        <v>Health Center</v>
      </c>
      <c r="D27" s="35" t="str">
        <f>'1. Data - Facilities'!F27</f>
        <v>Grid</v>
      </c>
      <c r="E27" s="35">
        <f>'1. Data - Facilities'!G27</f>
        <v>2.94</v>
      </c>
      <c r="F27" s="35" t="str">
        <f>'1. Data - Facilities'!H27</f>
        <v/>
      </c>
      <c r="G27" s="35" t="str">
        <f>'1. Data - Facilities'!I27</f>
        <v>Generator only</v>
      </c>
      <c r="H27" s="35" t="str">
        <f>'1. Data - Facilities'!J27</f>
        <v/>
      </c>
      <c r="I27" s="35" t="str">
        <f>'1. Data - Facilities'!K27</f>
        <v/>
      </c>
      <c r="J27" s="35" t="str">
        <f>'1. Data - Facilities'!L27</f>
        <v/>
      </c>
      <c r="K27" s="35" t="str">
        <f>'1. Data - Facilities'!M27</f>
        <v/>
      </c>
      <c r="L27" s="35" t="str">
        <f>'1. Data - Facilities'!N27</f>
        <v/>
      </c>
      <c r="M27" s="35" t="str">
        <f>'1. Data - Facilities'!O27</f>
        <v>Weak (-85 to -100 dBm)</v>
      </c>
      <c r="N27" s="35">
        <f>'1. Data - Facilities'!P27</f>
        <v>0</v>
      </c>
      <c r="O27" s="35">
        <f>'1. Data - Facilities'!Q27</f>
        <v>0</v>
      </c>
      <c r="P27" s="35">
        <f>'1. Data - Facilities'!R27</f>
        <v>0</v>
      </c>
      <c r="Q27" s="35">
        <f>'1. Data - Facilities'!S27</f>
        <v>0</v>
      </c>
      <c r="R27" s="35">
        <f>'1. Data - Facilities'!T27</f>
        <v>66</v>
      </c>
      <c r="S27" s="35" t="str">
        <f>'1. Data - Facilities'!U27</f>
        <v>No - No Health Centerian</v>
      </c>
      <c r="T27" s="35" t="str">
        <f>'1. Data - Facilities'!V27</f>
        <v>No</v>
      </c>
      <c r="U27" s="35" t="str">
        <f>'1. Data - Facilities'!W27</f>
        <v>Integrated and routine</v>
      </c>
      <c r="V27" s="35" t="str">
        <f>'1. Data - Facilities'!X27</f>
        <v>Paper only</v>
      </c>
      <c r="W27" s="35" t="str">
        <f>'1. Data - Facilities'!Y27</f>
        <v>&gt;=90% on time</v>
      </c>
      <c r="X27" s="35" t="str">
        <f>'1. Data - Facilities'!Z27</f>
        <v>Yes - routinely</v>
      </c>
      <c r="Y27" s="35" t="str">
        <f>'1. Data - Facilities'!AA27</f>
        <v>Yes - consistently</v>
      </c>
      <c r="Z27" s="35" t="str">
        <f>'1. Data - Facilities'!AB27</f>
        <v>Yes</v>
      </c>
      <c r="AA27" s="36">
        <f>'4. Aggregate - Literacy'!C27</f>
        <v>66</v>
      </c>
      <c r="AB27" s="36">
        <f>'4. Aggregate - Literacy'!B27</f>
        <v>5</v>
      </c>
      <c r="AC27" s="36">
        <f>'5. Aggregate - Sentiment'!C27</f>
        <v>10</v>
      </c>
      <c r="AD27" s="36">
        <f>'5. Aggregate - Sentiment'!B27</f>
        <v>5</v>
      </c>
      <c r="AE27" s="37">
        <f t="shared" si="2"/>
        <v>66</v>
      </c>
      <c r="AF27" s="37">
        <f t="shared" si="3"/>
        <v>0</v>
      </c>
      <c r="AG27" s="37" t="str">
        <f t="shared" si="4"/>
        <v>Mobile-only</v>
      </c>
      <c r="AH27" s="38">
        <f t="shared" si="5"/>
        <v>2</v>
      </c>
      <c r="AI27" s="38">
        <f t="shared" si="6"/>
        <v>1</v>
      </c>
      <c r="AJ27" s="38">
        <f t="shared" si="7"/>
        <v>0</v>
      </c>
      <c r="AK27" s="38">
        <f t="shared" si="8"/>
        <v>2</v>
      </c>
      <c r="AL27" s="38">
        <f t="shared" si="9"/>
        <v>2</v>
      </c>
      <c r="AM27" s="38">
        <f t="shared" si="10"/>
        <v>2</v>
      </c>
      <c r="AN27" s="35">
        <f t="shared" ref="AN27:AP27" si="44">IF(AH27=0,1,0)</f>
        <v>0</v>
      </c>
      <c r="AO27" s="35">
        <f t="shared" si="44"/>
        <v>0</v>
      </c>
      <c r="AP27" s="35">
        <f t="shared" si="44"/>
        <v>1</v>
      </c>
      <c r="AQ27" s="35">
        <f t="shared" si="12"/>
        <v>0</v>
      </c>
      <c r="AR27" s="35">
        <f t="shared" si="13"/>
        <v>0</v>
      </c>
      <c r="AS27" s="35">
        <f t="shared" si="14"/>
        <v>0</v>
      </c>
      <c r="AT27" s="35">
        <f t="shared" si="15"/>
        <v>1</v>
      </c>
      <c r="AU27" s="35" t="str">
        <f t="shared" si="16"/>
        <v>BLK-03</v>
      </c>
      <c r="AV27" s="35" t="str">
        <f t="shared" si="17"/>
        <v>BLK-03: Zero computers or tablets |</v>
      </c>
      <c r="AW27" s="39">
        <f t="shared" si="18"/>
        <v>52</v>
      </c>
      <c r="AX27" s="39" t="str">
        <f t="shared" si="19"/>
        <v>Tier 3</v>
      </c>
      <c r="AY27" s="39" t="str">
        <f t="shared" si="20"/>
        <v>—</v>
      </c>
    </row>
    <row r="28" ht="15.75" customHeight="1">
      <c r="A28" s="34" t="str">
        <f>'1. Data - Facilities'!A28</f>
        <v>Nyehn Health Center</v>
      </c>
      <c r="B28" s="34" t="str">
        <f>'1. Data - Facilities'!B28</f>
        <v>Montserrado</v>
      </c>
      <c r="C28" s="34" t="str">
        <f>'1. Data - Facilities'!C28</f>
        <v>Health Center</v>
      </c>
      <c r="D28" s="35" t="str">
        <f>'1. Data - Facilities'!F28</f>
        <v>Generator</v>
      </c>
      <c r="E28" s="35">
        <f>'1. Data - Facilities'!G28</f>
        <v>6</v>
      </c>
      <c r="F28" s="35" t="str">
        <f>'1. Data - Facilities'!H28</f>
        <v/>
      </c>
      <c r="G28" s="35" t="str">
        <f>'1. Data - Facilities'!I28</f>
        <v/>
      </c>
      <c r="H28" s="35" t="str">
        <f>'1. Data - Facilities'!J28</f>
        <v>Starlink</v>
      </c>
      <c r="I28" s="35">
        <f>'1. Data - Facilities'!K28</f>
        <v>61.8</v>
      </c>
      <c r="J28" s="35">
        <f>'1. Data - Facilities'!L28</f>
        <v>22.4</v>
      </c>
      <c r="K28" s="35">
        <f>'1. Data - Facilities'!M28</f>
        <v>80</v>
      </c>
      <c r="L28" s="35" t="str">
        <f>'1. Data - Facilities'!N28</f>
        <v>Moderate (80-200ms)</v>
      </c>
      <c r="M28" s="35" t="str">
        <f>'1. Data - Facilities'!O28</f>
        <v>Weak (-85 to -100 dBm)</v>
      </c>
      <c r="N28" s="35">
        <f>'1. Data - Facilities'!P28</f>
        <v>1</v>
      </c>
      <c r="O28" s="35">
        <f>'1. Data - Facilities'!Q28</f>
        <v>0</v>
      </c>
      <c r="P28" s="35">
        <f>'1. Data - Facilities'!R28</f>
        <v>0</v>
      </c>
      <c r="Q28" s="35">
        <f>'1. Data - Facilities'!S28</f>
        <v>2</v>
      </c>
      <c r="R28" s="35">
        <f>'1. Data - Facilities'!T28</f>
        <v>78</v>
      </c>
      <c r="S28" s="35" t="str">
        <f>'1. Data - Facilities'!U28</f>
        <v>No - No Health Centerian</v>
      </c>
      <c r="T28" s="35" t="str">
        <f>'1. Data - Facilities'!V28</f>
        <v>No</v>
      </c>
      <c r="U28" s="35" t="str">
        <f>'1. Data - Facilities'!W28</f>
        <v>Integrated and routine</v>
      </c>
      <c r="V28" s="35" t="str">
        <f>'1. Data - Facilities'!X28</f>
        <v>Paper only</v>
      </c>
      <c r="W28" s="35" t="str">
        <f>'1. Data - Facilities'!Y28</f>
        <v>&gt;=90% on time</v>
      </c>
      <c r="X28" s="35" t="str">
        <f>'1. Data - Facilities'!Z28</f>
        <v>Yes - Inconsistently</v>
      </c>
      <c r="Y28" s="35" t="str">
        <f>'1. Data - Facilities'!AA28</f>
        <v>Yes - consistently</v>
      </c>
      <c r="Z28" s="35" t="str">
        <f>'1. Data - Facilities'!AB28</f>
        <v>Yes</v>
      </c>
      <c r="AA28" s="36">
        <f>'4. Aggregate - Literacy'!C28</f>
        <v>78</v>
      </c>
      <c r="AB28" s="36">
        <f>'4. Aggregate - Literacy'!B28</f>
        <v>5</v>
      </c>
      <c r="AC28" s="36">
        <f>'5. Aggregate - Sentiment'!C28</f>
        <v>8</v>
      </c>
      <c r="AD28" s="36">
        <f>'5. Aggregate - Sentiment'!B28</f>
        <v>5</v>
      </c>
      <c r="AE28" s="37">
        <f t="shared" si="2"/>
        <v>78</v>
      </c>
      <c r="AF28" s="37">
        <f t="shared" si="3"/>
        <v>1</v>
      </c>
      <c r="AG28" s="37" t="str">
        <f t="shared" si="4"/>
        <v>High</v>
      </c>
      <c r="AH28" s="38">
        <f t="shared" si="5"/>
        <v>1</v>
      </c>
      <c r="AI28" s="38">
        <f t="shared" si="6"/>
        <v>2</v>
      </c>
      <c r="AJ28" s="38">
        <f t="shared" si="7"/>
        <v>2</v>
      </c>
      <c r="AK28" s="38">
        <f t="shared" si="8"/>
        <v>2</v>
      </c>
      <c r="AL28" s="38">
        <f t="shared" si="9"/>
        <v>2</v>
      </c>
      <c r="AM28" s="38">
        <f t="shared" si="10"/>
        <v>2</v>
      </c>
      <c r="AN28" s="35">
        <f t="shared" ref="AN28:AP28" si="45">IF(AH28=0,1,0)</f>
        <v>0</v>
      </c>
      <c r="AO28" s="35">
        <f t="shared" si="45"/>
        <v>0</v>
      </c>
      <c r="AP28" s="35">
        <f t="shared" si="45"/>
        <v>0</v>
      </c>
      <c r="AQ28" s="35">
        <f t="shared" si="12"/>
        <v>0</v>
      </c>
      <c r="AR28" s="35">
        <f t="shared" si="13"/>
        <v>0</v>
      </c>
      <c r="AS28" s="35">
        <f t="shared" si="14"/>
        <v>0</v>
      </c>
      <c r="AT28" s="35">
        <f t="shared" si="15"/>
        <v>0</v>
      </c>
      <c r="AU28" s="35" t="str">
        <f t="shared" si="16"/>
        <v/>
      </c>
      <c r="AV28" s="35" t="str">
        <f t="shared" si="17"/>
        <v/>
      </c>
      <c r="AW28" s="39">
        <f t="shared" si="18"/>
        <v>59.3</v>
      </c>
      <c r="AX28" s="39" t="str">
        <f t="shared" si="19"/>
        <v>Tier 2</v>
      </c>
      <c r="AY28" s="39" t="str">
        <f t="shared" si="20"/>
        <v>Wave 2</v>
      </c>
    </row>
    <row r="29" ht="15.75" customHeight="1">
      <c r="A29" s="34" t="str">
        <f>'1. Data - Facilities'!A29</f>
        <v>Pipeline Health Center</v>
      </c>
      <c r="B29" s="34" t="str">
        <f>'1. Data - Facilities'!B29</f>
        <v>Montserrado</v>
      </c>
      <c r="C29" s="34" t="str">
        <f>'1. Data - Facilities'!C29</f>
        <v>Health Center</v>
      </c>
      <c r="D29" s="35" t="str">
        <f>'1. Data - Facilities'!F29</f>
        <v>Grid</v>
      </c>
      <c r="E29" s="35">
        <f>'1. Data - Facilities'!G29</f>
        <v>6</v>
      </c>
      <c r="F29" s="35" t="str">
        <f>'1. Data - Facilities'!H29</f>
        <v/>
      </c>
      <c r="G29" s="35" t="str">
        <f>'1. Data - Facilities'!I29</f>
        <v>Generator only</v>
      </c>
      <c r="H29" s="35" t="str">
        <f>'1. Data - Facilities'!J29</f>
        <v/>
      </c>
      <c r="I29" s="35" t="str">
        <f>'1. Data - Facilities'!K29</f>
        <v/>
      </c>
      <c r="J29" s="35" t="str">
        <f>'1. Data - Facilities'!L29</f>
        <v/>
      </c>
      <c r="K29" s="35" t="str">
        <f>'1. Data - Facilities'!M29</f>
        <v/>
      </c>
      <c r="L29" s="35" t="str">
        <f>'1. Data - Facilities'!N29</f>
        <v/>
      </c>
      <c r="M29" s="35" t="str">
        <f>'1. Data - Facilities'!O29</f>
        <v>Moderate (-70 to -85 dBm)</v>
      </c>
      <c r="N29" s="35">
        <f>'1. Data - Facilities'!P29</f>
        <v>1</v>
      </c>
      <c r="O29" s="35">
        <f>'1. Data - Facilities'!Q29</f>
        <v>0</v>
      </c>
      <c r="P29" s="35">
        <f>'1. Data - Facilities'!R29</f>
        <v>0</v>
      </c>
      <c r="Q29" s="35">
        <f>'1. Data - Facilities'!S29</f>
        <v>0</v>
      </c>
      <c r="R29" s="35">
        <f>'1. Data - Facilities'!T29</f>
        <v>73</v>
      </c>
      <c r="S29" s="35" t="str">
        <f>'1. Data - Facilities'!U29</f>
        <v>No - No Health Centerian</v>
      </c>
      <c r="T29" s="35" t="str">
        <f>'1. Data - Facilities'!V29</f>
        <v>Yes - part time / shared</v>
      </c>
      <c r="U29" s="35" t="str">
        <f>'1. Data - Facilities'!W29</f>
        <v/>
      </c>
      <c r="V29" s="35" t="str">
        <f>'1. Data - Facilities'!X29</f>
        <v>Paper only</v>
      </c>
      <c r="W29" s="35" t="str">
        <f>'1. Data - Facilities'!Y29</f>
        <v>70-89% on time</v>
      </c>
      <c r="X29" s="35" t="str">
        <f>'1. Data - Facilities'!Z29</f>
        <v>Yes - routinely</v>
      </c>
      <c r="Y29" s="35" t="str">
        <f>'1. Data - Facilities'!AA29</f>
        <v>Yes - consistently</v>
      </c>
      <c r="Z29" s="35" t="str">
        <f>'1. Data - Facilities'!AB29</f>
        <v>Yes</v>
      </c>
      <c r="AA29" s="36">
        <f>'4. Aggregate - Literacy'!C29</f>
        <v>73</v>
      </c>
      <c r="AB29" s="36">
        <f>'4. Aggregate - Literacy'!B29</f>
        <v>3</v>
      </c>
      <c r="AC29" s="36">
        <f>'5. Aggregate - Sentiment'!C29</f>
        <v>8.4</v>
      </c>
      <c r="AD29" s="36">
        <f>'5. Aggregate - Sentiment'!B29</f>
        <v>5</v>
      </c>
      <c r="AE29" s="37">
        <f t="shared" si="2"/>
        <v>73</v>
      </c>
      <c r="AF29" s="37">
        <f t="shared" si="3"/>
        <v>1</v>
      </c>
      <c r="AG29" s="37" t="str">
        <f t="shared" si="4"/>
        <v>Mobile-only</v>
      </c>
      <c r="AH29" s="38">
        <f t="shared" si="5"/>
        <v>2</v>
      </c>
      <c r="AI29" s="38">
        <f t="shared" si="6"/>
        <v>2</v>
      </c>
      <c r="AJ29" s="38">
        <f t="shared" si="7"/>
        <v>2</v>
      </c>
      <c r="AK29" s="38">
        <f t="shared" si="8"/>
        <v>3</v>
      </c>
      <c r="AL29" s="38">
        <f t="shared" si="9"/>
        <v>2</v>
      </c>
      <c r="AM29" s="38">
        <f t="shared" si="10"/>
        <v>2</v>
      </c>
      <c r="AN29" s="35">
        <f t="shared" ref="AN29:AP29" si="46">IF(AH29=0,1,0)</f>
        <v>0</v>
      </c>
      <c r="AO29" s="35">
        <f t="shared" si="46"/>
        <v>0</v>
      </c>
      <c r="AP29" s="35">
        <f t="shared" si="46"/>
        <v>0</v>
      </c>
      <c r="AQ29" s="35">
        <f t="shared" si="12"/>
        <v>0</v>
      </c>
      <c r="AR29" s="35">
        <f t="shared" si="13"/>
        <v>0</v>
      </c>
      <c r="AS29" s="35">
        <f t="shared" si="14"/>
        <v>0</v>
      </c>
      <c r="AT29" s="35">
        <f t="shared" si="15"/>
        <v>0</v>
      </c>
      <c r="AU29" s="35" t="str">
        <f t="shared" si="16"/>
        <v/>
      </c>
      <c r="AV29" s="35" t="str">
        <f t="shared" si="17"/>
        <v/>
      </c>
      <c r="AW29" s="39">
        <f t="shared" si="18"/>
        <v>74</v>
      </c>
      <c r="AX29" s="39" t="str">
        <f t="shared" si="19"/>
        <v>Tier 2</v>
      </c>
      <c r="AY29" s="39" t="str">
        <f t="shared" si="20"/>
        <v>Wave 2</v>
      </c>
    </row>
    <row r="30" ht="15.75" customHeight="1">
      <c r="A30" s="34" t="str">
        <f>'1. Data - Facilities'!A30</f>
        <v>Pleebo Health Center</v>
      </c>
      <c r="B30" s="34" t="str">
        <f>'1. Data - Facilities'!B30</f>
        <v>Maryland</v>
      </c>
      <c r="C30" s="34" t="str">
        <f>'1. Data - Facilities'!C30</f>
        <v>Health Center</v>
      </c>
      <c r="D30" s="35" t="str">
        <f>'1. Data - Facilities'!F30</f>
        <v>Generator</v>
      </c>
      <c r="E30" s="35">
        <f>'1. Data - Facilities'!G30</f>
        <v>0</v>
      </c>
      <c r="F30" s="35" t="str">
        <f>'1. Data - Facilities'!H30</f>
        <v/>
      </c>
      <c r="G30" s="35" t="str">
        <f>'1. Data - Facilities'!I30</f>
        <v>Multiple backup systems (specify below)</v>
      </c>
      <c r="H30" s="35" t="str">
        <f>'1. Data - Facilities'!J30</f>
        <v>3G 4G Starlink Wi-Fi</v>
      </c>
      <c r="I30" s="35">
        <f>'1. Data - Facilities'!K30</f>
        <v>11.98</v>
      </c>
      <c r="J30" s="35">
        <f>'1. Data - Facilities'!L30</f>
        <v>12.07</v>
      </c>
      <c r="K30" s="35">
        <f>'1. Data - Facilities'!M30</f>
        <v>100</v>
      </c>
      <c r="L30" s="35" t="str">
        <f>'1. Data - Facilities'!N30</f>
        <v>Moderate (80-200ms)</v>
      </c>
      <c r="M30" s="35" t="str">
        <f>'1. Data - Facilities'!O30</f>
        <v>Moderate (-70 to -85 dBm)</v>
      </c>
      <c r="N30" s="35">
        <f>'1. Data - Facilities'!P30</f>
        <v>6</v>
      </c>
      <c r="O30" s="35">
        <f>'1. Data - Facilities'!Q30</f>
        <v>2</v>
      </c>
      <c r="P30" s="35">
        <f>'1. Data - Facilities'!R30</f>
        <v>1</v>
      </c>
      <c r="Q30" s="35">
        <f>'1. Data - Facilities'!S30</f>
        <v>0</v>
      </c>
      <c r="R30" s="35">
        <f>'1. Data - Facilities'!T30</f>
        <v>64</v>
      </c>
      <c r="S30" s="35" t="str">
        <f>'1. Data - Facilities'!U30</f>
        <v>No - No Health Centerian</v>
      </c>
      <c r="T30" s="35" t="str">
        <f>'1. Data - Facilities'!V30</f>
        <v>No</v>
      </c>
      <c r="U30" s="35" t="str">
        <f>'1. Data - Facilities'!W30</f>
        <v/>
      </c>
      <c r="V30" s="35" t="str">
        <f>'1. Data - Facilities'!X30</f>
        <v>Hybrid (paper + digital)</v>
      </c>
      <c r="W30" s="35" t="str">
        <f>'1. Data - Facilities'!Y30</f>
        <v>&gt;=90% on time</v>
      </c>
      <c r="X30" s="35" t="str">
        <f>'1. Data - Facilities'!Z30</f>
        <v>Yes - routinely</v>
      </c>
      <c r="Y30" s="35" t="str">
        <f>'1. Data - Facilities'!AA30</f>
        <v>Partially</v>
      </c>
      <c r="Z30" s="35" t="str">
        <f>'1. Data - Facilities'!AB30</f>
        <v>Yes</v>
      </c>
      <c r="AA30" s="36">
        <f>'4. Aggregate - Literacy'!C30</f>
        <v>62</v>
      </c>
      <c r="AB30" s="36">
        <f>'4. Aggregate - Literacy'!B30</f>
        <v>5</v>
      </c>
      <c r="AC30" s="36">
        <f>'5. Aggregate - Sentiment'!C30</f>
        <v>7.8</v>
      </c>
      <c r="AD30" s="36">
        <f>'5. Aggregate - Sentiment'!B30</f>
        <v>5</v>
      </c>
      <c r="AE30" s="37">
        <f t="shared" si="2"/>
        <v>62</v>
      </c>
      <c r="AF30" s="37">
        <f t="shared" si="3"/>
        <v>9</v>
      </c>
      <c r="AG30" s="37" t="str">
        <f t="shared" si="4"/>
        <v>Moderate</v>
      </c>
      <c r="AH30" s="38">
        <f t="shared" si="5"/>
        <v>2</v>
      </c>
      <c r="AI30" s="38">
        <f t="shared" si="6"/>
        <v>2</v>
      </c>
      <c r="AJ30" s="38">
        <f t="shared" si="7"/>
        <v>2</v>
      </c>
      <c r="AK30" s="38">
        <f t="shared" si="8"/>
        <v>2</v>
      </c>
      <c r="AL30" s="38">
        <f t="shared" si="9"/>
        <v>2</v>
      </c>
      <c r="AM30" s="38">
        <f t="shared" si="10"/>
        <v>3</v>
      </c>
      <c r="AN30" s="35">
        <f t="shared" ref="AN30:AP30" si="47">IF(AH30=0,1,0)</f>
        <v>0</v>
      </c>
      <c r="AO30" s="35">
        <f t="shared" si="47"/>
        <v>0</v>
      </c>
      <c r="AP30" s="35">
        <f t="shared" si="47"/>
        <v>0</v>
      </c>
      <c r="AQ30" s="35">
        <f t="shared" si="12"/>
        <v>0</v>
      </c>
      <c r="AR30" s="35">
        <f t="shared" si="13"/>
        <v>1</v>
      </c>
      <c r="AS30" s="35">
        <f t="shared" si="14"/>
        <v>0</v>
      </c>
      <c r="AT30" s="35">
        <f t="shared" si="15"/>
        <v>1</v>
      </c>
      <c r="AU30" s="35" t="str">
        <f t="shared" si="16"/>
        <v>BLK-05</v>
      </c>
      <c r="AV30" s="35" t="str">
        <f t="shared" si="17"/>
        <v>BLK-05: No IT support |</v>
      </c>
      <c r="AW30" s="39">
        <f t="shared" si="18"/>
        <v>70</v>
      </c>
      <c r="AX30" s="39" t="str">
        <f t="shared" si="19"/>
        <v>Tier 3</v>
      </c>
      <c r="AY30" s="39" t="str">
        <f t="shared" si="20"/>
        <v>—</v>
      </c>
    </row>
    <row r="31" ht="15.75" customHeight="1">
      <c r="A31" s="34" t="str">
        <f>'1. Data - Facilities'!A31</f>
        <v>RH Ferguson Health Center</v>
      </c>
      <c r="B31" s="34" t="str">
        <f>'1. Data - Facilities'!B31</f>
        <v>Montserrado</v>
      </c>
      <c r="C31" s="34" t="str">
        <f>'1. Data - Facilities'!C31</f>
        <v>Health Center</v>
      </c>
      <c r="D31" s="35" t="str">
        <f>'1. Data - Facilities'!F31</f>
        <v>Grid</v>
      </c>
      <c r="E31" s="35">
        <f>'1. Data - Facilities'!G31</f>
        <v>42</v>
      </c>
      <c r="F31" s="35" t="str">
        <f>'1. Data - Facilities'!H31</f>
        <v/>
      </c>
      <c r="G31" s="35" t="str">
        <f>'1. Data - Facilities'!I31</f>
        <v>Generator only</v>
      </c>
      <c r="H31" s="35" t="str">
        <f>'1. Data - Facilities'!J31</f>
        <v/>
      </c>
      <c r="I31" s="35" t="str">
        <f>'1. Data - Facilities'!K31</f>
        <v/>
      </c>
      <c r="J31" s="35" t="str">
        <f>'1. Data - Facilities'!L31</f>
        <v/>
      </c>
      <c r="K31" s="35" t="str">
        <f>'1. Data - Facilities'!M31</f>
        <v/>
      </c>
      <c r="L31" s="35" t="str">
        <f>'1. Data - Facilities'!N31</f>
        <v/>
      </c>
      <c r="M31" s="35" t="str">
        <f>'1. Data - Facilities'!O31</f>
        <v>Weak (-85 to -100 dBm)</v>
      </c>
      <c r="N31" s="35">
        <f>'1. Data - Facilities'!P31</f>
        <v>2</v>
      </c>
      <c r="O31" s="35">
        <f>'1. Data - Facilities'!Q31</f>
        <v>0</v>
      </c>
      <c r="P31" s="35">
        <f>'1. Data - Facilities'!R31</f>
        <v>0</v>
      </c>
      <c r="Q31" s="35">
        <f>'1. Data - Facilities'!S31</f>
        <v>0</v>
      </c>
      <c r="R31" s="35">
        <f>'1. Data - Facilities'!T31</f>
        <v>66</v>
      </c>
      <c r="S31" s="35" t="str">
        <f>'1. Data - Facilities'!U31</f>
        <v>No - No Health Centerian</v>
      </c>
      <c r="T31" s="35" t="str">
        <f>'1. Data - Facilities'!V31</f>
        <v>No</v>
      </c>
      <c r="U31" s="35" t="str">
        <f>'1. Data - Facilities'!W31</f>
        <v>Integrated and routine</v>
      </c>
      <c r="V31" s="35" t="str">
        <f>'1. Data - Facilities'!X31</f>
        <v>Paper only</v>
      </c>
      <c r="W31" s="35" t="str">
        <f>'1. Data - Facilities'!Y31</f>
        <v>&gt;=90% on time</v>
      </c>
      <c r="X31" s="35" t="str">
        <f>'1. Data - Facilities'!Z31</f>
        <v>Yes - routinely</v>
      </c>
      <c r="Y31" s="35" t="str">
        <f>'1. Data - Facilities'!AA31</f>
        <v>Yes - consistently</v>
      </c>
      <c r="Z31" s="35" t="str">
        <f>'1. Data - Facilities'!AB31</f>
        <v>Yes</v>
      </c>
      <c r="AA31" s="36">
        <f>'4. Aggregate - Literacy'!C31</f>
        <v>66</v>
      </c>
      <c r="AB31" s="36">
        <f>'4. Aggregate - Literacy'!B31</f>
        <v>5</v>
      </c>
      <c r="AC31" s="36">
        <f>'5. Aggregate - Sentiment'!C31</f>
        <v>10</v>
      </c>
      <c r="AD31" s="36">
        <f>'5. Aggregate - Sentiment'!B31</f>
        <v>3</v>
      </c>
      <c r="AE31" s="37">
        <f t="shared" si="2"/>
        <v>66</v>
      </c>
      <c r="AF31" s="37">
        <f t="shared" si="3"/>
        <v>2</v>
      </c>
      <c r="AG31" s="37" t="str">
        <f t="shared" si="4"/>
        <v>Mobile-only</v>
      </c>
      <c r="AH31" s="38">
        <f t="shared" si="5"/>
        <v>2</v>
      </c>
      <c r="AI31" s="38">
        <f t="shared" si="6"/>
        <v>1</v>
      </c>
      <c r="AJ31" s="38">
        <f t="shared" si="7"/>
        <v>2</v>
      </c>
      <c r="AK31" s="38">
        <f t="shared" si="8"/>
        <v>2</v>
      </c>
      <c r="AL31" s="38">
        <f t="shared" si="9"/>
        <v>2</v>
      </c>
      <c r="AM31" s="38">
        <f t="shared" si="10"/>
        <v>2</v>
      </c>
      <c r="AN31" s="35">
        <f t="shared" ref="AN31:AP31" si="48">IF(AH31=0,1,0)</f>
        <v>0</v>
      </c>
      <c r="AO31" s="35">
        <f t="shared" si="48"/>
        <v>0</v>
      </c>
      <c r="AP31" s="35">
        <f t="shared" si="48"/>
        <v>0</v>
      </c>
      <c r="AQ31" s="35">
        <f t="shared" si="12"/>
        <v>0</v>
      </c>
      <c r="AR31" s="35">
        <f t="shared" si="13"/>
        <v>0</v>
      </c>
      <c r="AS31" s="35">
        <f t="shared" si="14"/>
        <v>0</v>
      </c>
      <c r="AT31" s="35">
        <f t="shared" si="15"/>
        <v>0</v>
      </c>
      <c r="AU31" s="35" t="str">
        <f t="shared" si="16"/>
        <v/>
      </c>
      <c r="AV31" s="35" t="str">
        <f t="shared" si="17"/>
        <v/>
      </c>
      <c r="AW31" s="39">
        <f t="shared" si="18"/>
        <v>60.7</v>
      </c>
      <c r="AX31" s="39" t="str">
        <f t="shared" si="19"/>
        <v>Tier 2</v>
      </c>
      <c r="AY31" s="39" t="str">
        <f t="shared" si="20"/>
        <v>Wave 2</v>
      </c>
    </row>
    <row r="32" ht="15.75" customHeight="1">
      <c r="A32" s="34" t="str">
        <f>'1. Data - Facilities'!A32</f>
        <v>Sacleapea Comprehensive Health Center</v>
      </c>
      <c r="B32" s="34" t="str">
        <f>'1. Data - Facilities'!B32</f>
        <v>Nimba</v>
      </c>
      <c r="C32" s="34" t="str">
        <f>'1. Data - Facilities'!C32</f>
        <v>Health Center</v>
      </c>
      <c r="D32" s="35" t="str">
        <f>'1. Data - Facilities'!F32</f>
        <v>Grid</v>
      </c>
      <c r="E32" s="35">
        <f>'1. Data - Facilities'!G32</f>
        <v>22</v>
      </c>
      <c r="F32" s="35" t="str">
        <f>'1. Data - Facilities'!H32</f>
        <v/>
      </c>
      <c r="G32" s="35" t="str">
        <f>'1. Data - Facilities'!I32</f>
        <v>Generator only</v>
      </c>
      <c r="H32" s="35" t="str">
        <f>'1. Data - Facilities'!J32</f>
        <v/>
      </c>
      <c r="I32" s="35" t="str">
        <f>'1. Data - Facilities'!K32</f>
        <v/>
      </c>
      <c r="J32" s="35" t="str">
        <f>'1. Data - Facilities'!L32</f>
        <v/>
      </c>
      <c r="K32" s="35" t="str">
        <f>'1. Data - Facilities'!M32</f>
        <v/>
      </c>
      <c r="L32" s="35" t="str">
        <f>'1. Data - Facilities'!N32</f>
        <v/>
      </c>
      <c r="M32" s="35" t="str">
        <f>'1. Data - Facilities'!O32</f>
        <v>None (below -100 dBm or no signal)</v>
      </c>
      <c r="N32" s="35">
        <f>'1. Data - Facilities'!P32</f>
        <v>7</v>
      </c>
      <c r="O32" s="35">
        <f>'1. Data - Facilities'!Q32</f>
        <v>2</v>
      </c>
      <c r="P32" s="35">
        <f>'1. Data - Facilities'!R32</f>
        <v>0</v>
      </c>
      <c r="Q32" s="35">
        <f>'1. Data - Facilities'!S32</f>
        <v>0</v>
      </c>
      <c r="R32" s="35">
        <f>'1. Data - Facilities'!T32</f>
        <v>72</v>
      </c>
      <c r="S32" s="35" t="str">
        <f>'1. Data - Facilities'!U32</f>
        <v>No - No Health Centerian</v>
      </c>
      <c r="T32" s="35" t="str">
        <f>'1. Data - Facilities'!V32</f>
        <v>No</v>
      </c>
      <c r="U32" s="35" t="str">
        <f>'1. Data - Facilities'!W32</f>
        <v>Exists but inconsistent usage</v>
      </c>
      <c r="V32" s="35" t="str">
        <f>'1. Data - Facilities'!X32</f>
        <v>Paper only</v>
      </c>
      <c r="W32" s="35" t="str">
        <f>'1. Data - Facilities'!Y32</f>
        <v>&gt;=90% on time</v>
      </c>
      <c r="X32" s="35" t="str">
        <f>'1. Data - Facilities'!Z32</f>
        <v>Yes - routinely</v>
      </c>
      <c r="Y32" s="35" t="str">
        <f>'1. Data - Facilities'!AA32</f>
        <v>Yes - consistently</v>
      </c>
      <c r="Z32" s="35" t="str">
        <f>'1. Data - Facilities'!AB32</f>
        <v>Yes</v>
      </c>
      <c r="AA32" s="36">
        <f>'4. Aggregate - Literacy'!C32</f>
        <v>72</v>
      </c>
      <c r="AB32" s="36">
        <f>'4. Aggregate - Literacy'!B32</f>
        <v>6</v>
      </c>
      <c r="AC32" s="36">
        <f>'5. Aggregate - Sentiment'!C32</f>
        <v>10</v>
      </c>
      <c r="AD32" s="36">
        <f>'5. Aggregate - Sentiment'!B32</f>
        <v>5</v>
      </c>
      <c r="AE32" s="37">
        <f t="shared" si="2"/>
        <v>72</v>
      </c>
      <c r="AF32" s="37">
        <f t="shared" si="3"/>
        <v>9</v>
      </c>
      <c r="AG32" s="37" t="str">
        <f t="shared" si="4"/>
        <v>Mobile-only</v>
      </c>
      <c r="AH32" s="38">
        <f t="shared" si="5"/>
        <v>2</v>
      </c>
      <c r="AI32" s="38">
        <f t="shared" si="6"/>
        <v>0</v>
      </c>
      <c r="AJ32" s="38">
        <f t="shared" si="7"/>
        <v>2</v>
      </c>
      <c r="AK32" s="38">
        <f t="shared" si="8"/>
        <v>2</v>
      </c>
      <c r="AL32" s="38">
        <f t="shared" si="9"/>
        <v>2</v>
      </c>
      <c r="AM32" s="38">
        <f t="shared" si="10"/>
        <v>2</v>
      </c>
      <c r="AN32" s="35">
        <f t="shared" ref="AN32:AP32" si="49">IF(AH32=0,1,0)</f>
        <v>0</v>
      </c>
      <c r="AO32" s="35">
        <f t="shared" si="49"/>
        <v>1</v>
      </c>
      <c r="AP32" s="35">
        <f t="shared" si="49"/>
        <v>0</v>
      </c>
      <c r="AQ32" s="35">
        <f t="shared" si="12"/>
        <v>0</v>
      </c>
      <c r="AR32" s="35">
        <f t="shared" si="13"/>
        <v>0</v>
      </c>
      <c r="AS32" s="35">
        <f t="shared" si="14"/>
        <v>0</v>
      </c>
      <c r="AT32" s="35">
        <f t="shared" si="15"/>
        <v>1</v>
      </c>
      <c r="AU32" s="35" t="str">
        <f t="shared" si="16"/>
        <v>BLK-02</v>
      </c>
      <c r="AV32" s="35" t="str">
        <f t="shared" si="17"/>
        <v>BLK-02: No connectivity / &lt;2 Mbps |</v>
      </c>
      <c r="AW32" s="39">
        <f t="shared" si="18"/>
        <v>54.7</v>
      </c>
      <c r="AX32" s="39" t="str">
        <f t="shared" si="19"/>
        <v>Tier 3</v>
      </c>
      <c r="AY32" s="39" t="str">
        <f t="shared" si="20"/>
        <v>—</v>
      </c>
    </row>
    <row r="33" ht="15.75" customHeight="1">
      <c r="A33" s="34" t="str">
        <f>'1. Data - Facilities'!A33</f>
        <v>Sarbo Health Center</v>
      </c>
      <c r="B33" s="34" t="str">
        <f>'1. Data - Facilities'!B33</f>
        <v>River Gee</v>
      </c>
      <c r="C33" s="34" t="str">
        <f>'1. Data - Facilities'!C33</f>
        <v>Health Center</v>
      </c>
      <c r="D33" s="35" t="str">
        <f>'1. Data - Facilities'!F33</f>
        <v>Grid</v>
      </c>
      <c r="E33" s="35">
        <f>'1. Data - Facilities'!G33</f>
        <v>68</v>
      </c>
      <c r="F33" s="35" t="str">
        <f>'1. Data - Facilities'!H33</f>
        <v/>
      </c>
      <c r="G33" s="35" t="str">
        <f>'1. Data - Facilities'!I33</f>
        <v>Generator only</v>
      </c>
      <c r="H33" s="35" t="str">
        <f>'1. Data - Facilities'!J33</f>
        <v/>
      </c>
      <c r="I33" s="35" t="str">
        <f>'1. Data - Facilities'!K33</f>
        <v/>
      </c>
      <c r="J33" s="35" t="str">
        <f>'1. Data - Facilities'!L33</f>
        <v/>
      </c>
      <c r="K33" s="35" t="str">
        <f>'1. Data - Facilities'!M33</f>
        <v/>
      </c>
      <c r="L33" s="35" t="str">
        <f>'1. Data - Facilities'!N33</f>
        <v/>
      </c>
      <c r="M33" s="35" t="str">
        <f>'1. Data - Facilities'!O33</f>
        <v>None (below -100 dBm or no signal)</v>
      </c>
      <c r="N33" s="35">
        <f>'1. Data - Facilities'!P33</f>
        <v>0</v>
      </c>
      <c r="O33" s="35">
        <f>'1. Data - Facilities'!Q33</f>
        <v>0</v>
      </c>
      <c r="P33" s="35">
        <f>'1. Data - Facilities'!R33</f>
        <v>0</v>
      </c>
      <c r="Q33" s="35">
        <f>'1. Data - Facilities'!S33</f>
        <v>0</v>
      </c>
      <c r="R33" s="35">
        <f>'1. Data - Facilities'!T33</f>
        <v>70</v>
      </c>
      <c r="S33" s="35" t="str">
        <f>'1. Data - Facilities'!U33</f>
        <v>No - No Health Centerian</v>
      </c>
      <c r="T33" s="35" t="str">
        <f>'1. Data - Facilities'!V33</f>
        <v>No</v>
      </c>
      <c r="U33" s="35" t="str">
        <f>'1. Data - Facilities'!W33</f>
        <v/>
      </c>
      <c r="V33" s="35" t="str">
        <f>'1. Data - Facilities'!X33</f>
        <v>Paper only</v>
      </c>
      <c r="W33" s="35" t="str">
        <f>'1. Data - Facilities'!Y33</f>
        <v>70-89% on time</v>
      </c>
      <c r="X33" s="35" t="str">
        <f>'1. Data - Facilities'!Z33</f>
        <v>No unique ID</v>
      </c>
      <c r="Y33" s="35" t="str">
        <f>'1. Data - Facilities'!AA33</f>
        <v>No</v>
      </c>
      <c r="Z33" s="35" t="str">
        <f>'1. Data - Facilities'!AB33</f>
        <v>Yes</v>
      </c>
      <c r="AA33" s="36">
        <f>'4. Aggregate - Literacy'!C33</f>
        <v>66</v>
      </c>
      <c r="AB33" s="36">
        <f>'4. Aggregate - Literacy'!B33</f>
        <v>5</v>
      </c>
      <c r="AC33" s="36">
        <f>'5. Aggregate - Sentiment'!C33</f>
        <v>7.8</v>
      </c>
      <c r="AD33" s="36">
        <f>'5. Aggregate - Sentiment'!B33</f>
        <v>5</v>
      </c>
      <c r="AE33" s="37">
        <f t="shared" si="2"/>
        <v>66</v>
      </c>
      <c r="AF33" s="37">
        <f t="shared" si="3"/>
        <v>0</v>
      </c>
      <c r="AG33" s="37" t="str">
        <f t="shared" si="4"/>
        <v>Mobile-only</v>
      </c>
      <c r="AH33" s="38">
        <f t="shared" si="5"/>
        <v>2</v>
      </c>
      <c r="AI33" s="38">
        <f t="shared" si="6"/>
        <v>0</v>
      </c>
      <c r="AJ33" s="38">
        <f t="shared" si="7"/>
        <v>0</v>
      </c>
      <c r="AK33" s="38">
        <f t="shared" si="8"/>
        <v>2</v>
      </c>
      <c r="AL33" s="38">
        <f t="shared" si="9"/>
        <v>2</v>
      </c>
      <c r="AM33" s="38">
        <f t="shared" si="10"/>
        <v>2</v>
      </c>
      <c r="AN33" s="35">
        <f t="shared" ref="AN33:AP33" si="50">IF(AH33=0,1,0)</f>
        <v>0</v>
      </c>
      <c r="AO33" s="35">
        <f t="shared" si="50"/>
        <v>1</v>
      </c>
      <c r="AP33" s="35">
        <f t="shared" si="50"/>
        <v>1</v>
      </c>
      <c r="AQ33" s="35">
        <f t="shared" si="12"/>
        <v>1</v>
      </c>
      <c r="AR33" s="35">
        <f t="shared" si="13"/>
        <v>1</v>
      </c>
      <c r="AS33" s="35">
        <f t="shared" si="14"/>
        <v>0</v>
      </c>
      <c r="AT33" s="35">
        <f t="shared" si="15"/>
        <v>4</v>
      </c>
      <c r="AU33" s="35" t="str">
        <f t="shared" si="16"/>
        <v>BLK-02 BLK-03 BLK-04 BLK-05</v>
      </c>
      <c r="AV33" s="35" t="str">
        <f t="shared" si="17"/>
        <v>BLK-02: No connectivity / &lt;2 Mbps | BLK-03: Zero computers or tablets | BLK-04: Not reporting to DHIS2 | BLK-05: No IT support |</v>
      </c>
      <c r="AW33" s="39">
        <f t="shared" si="18"/>
        <v>46</v>
      </c>
      <c r="AX33" s="39" t="str">
        <f t="shared" si="19"/>
        <v>Tier 3</v>
      </c>
      <c r="AY33" s="39" t="str">
        <f t="shared" si="20"/>
        <v>—</v>
      </c>
    </row>
    <row r="34" ht="15.75" customHeight="1">
      <c r="A34" s="34" t="str">
        <f>'1. Data - Facilities'!A34</f>
        <v>Sinje Health Center</v>
      </c>
      <c r="B34" s="34" t="str">
        <f>'1. Data - Facilities'!B34</f>
        <v>Grand Cape Mount</v>
      </c>
      <c r="C34" s="34" t="str">
        <f>'1. Data - Facilities'!C34</f>
        <v>Health Center</v>
      </c>
      <c r="D34" s="35" t="str">
        <f>'1. Data - Facilities'!F34</f>
        <v>Solar / Inverter</v>
      </c>
      <c r="E34" s="35">
        <f>'1. Data - Facilities'!G34</f>
        <v>0</v>
      </c>
      <c r="F34" s="35" t="str">
        <f>'1. Data - Facilities'!H34</f>
        <v/>
      </c>
      <c r="G34" s="35" t="str">
        <f>'1. Data - Facilities'!I34</f>
        <v>Multiple backup systems (specify below)</v>
      </c>
      <c r="H34" s="35" t="str">
        <f>'1. Data - Facilities'!J34</f>
        <v/>
      </c>
      <c r="I34" s="35" t="str">
        <f>'1. Data - Facilities'!K34</f>
        <v/>
      </c>
      <c r="J34" s="35" t="str">
        <f>'1. Data - Facilities'!L34</f>
        <v/>
      </c>
      <c r="K34" s="35" t="str">
        <f>'1. Data - Facilities'!M34</f>
        <v/>
      </c>
      <c r="L34" s="35" t="str">
        <f>'1. Data - Facilities'!N34</f>
        <v/>
      </c>
      <c r="M34" s="35" t="str">
        <f>'1. Data - Facilities'!O34</f>
        <v>Weak (-85 to -100 dBm)</v>
      </c>
      <c r="N34" s="35">
        <f>'1. Data - Facilities'!P34</f>
        <v>4</v>
      </c>
      <c r="O34" s="35">
        <f>'1. Data - Facilities'!Q34</f>
        <v>0</v>
      </c>
      <c r="P34" s="35">
        <f>'1. Data - Facilities'!R34</f>
        <v>0</v>
      </c>
      <c r="Q34" s="35">
        <f>'1. Data - Facilities'!S34</f>
        <v>0</v>
      </c>
      <c r="R34" s="35">
        <f>'1. Data - Facilities'!T34</f>
        <v>78</v>
      </c>
      <c r="S34" s="35" t="str">
        <f>'1. Data - Facilities'!U34</f>
        <v>No - No Health Centerian</v>
      </c>
      <c r="T34" s="35" t="str">
        <f>'1. Data - Facilities'!V34</f>
        <v>No</v>
      </c>
      <c r="U34" s="35" t="str">
        <f>'1. Data - Facilities'!W34</f>
        <v>Integrated and routine</v>
      </c>
      <c r="V34" s="35" t="str">
        <f>'1. Data - Facilities'!X34</f>
        <v>Paper only</v>
      </c>
      <c r="W34" s="35" t="str">
        <f>'1. Data - Facilities'!Y34</f>
        <v>&gt;=90% on time</v>
      </c>
      <c r="X34" s="35" t="str">
        <f>'1. Data - Facilities'!Z34</f>
        <v>Yes - routinely</v>
      </c>
      <c r="Y34" s="35" t="str">
        <f>'1. Data - Facilities'!AA34</f>
        <v>Yes - consistently</v>
      </c>
      <c r="Z34" s="35" t="str">
        <f>'1. Data - Facilities'!AB34</f>
        <v>Yes</v>
      </c>
      <c r="AA34" s="36">
        <f>'4. Aggregate - Literacy'!C34</f>
        <v>78</v>
      </c>
      <c r="AB34" s="36">
        <f>'4. Aggregate - Literacy'!B34</f>
        <v>5</v>
      </c>
      <c r="AC34" s="36">
        <f>'5. Aggregate - Sentiment'!C34</f>
        <v>9.2</v>
      </c>
      <c r="AD34" s="36">
        <f>'5. Aggregate - Sentiment'!B34</f>
        <v>5</v>
      </c>
      <c r="AE34" s="37">
        <f t="shared" si="2"/>
        <v>78</v>
      </c>
      <c r="AF34" s="37">
        <f t="shared" si="3"/>
        <v>4</v>
      </c>
      <c r="AG34" s="37" t="str">
        <f t="shared" si="4"/>
        <v>Mobile-only</v>
      </c>
      <c r="AH34" s="38">
        <f t="shared" si="5"/>
        <v>2</v>
      </c>
      <c r="AI34" s="38">
        <f t="shared" si="6"/>
        <v>1</v>
      </c>
      <c r="AJ34" s="38">
        <f t="shared" si="7"/>
        <v>2</v>
      </c>
      <c r="AK34" s="38">
        <f t="shared" si="8"/>
        <v>2</v>
      </c>
      <c r="AL34" s="38">
        <f t="shared" si="9"/>
        <v>2</v>
      </c>
      <c r="AM34" s="38">
        <f t="shared" si="10"/>
        <v>2</v>
      </c>
      <c r="AN34" s="35">
        <f t="shared" ref="AN34:AP34" si="51">IF(AH34=0,1,0)</f>
        <v>0</v>
      </c>
      <c r="AO34" s="35">
        <f t="shared" si="51"/>
        <v>0</v>
      </c>
      <c r="AP34" s="35">
        <f t="shared" si="51"/>
        <v>0</v>
      </c>
      <c r="AQ34" s="35">
        <f t="shared" si="12"/>
        <v>0</v>
      </c>
      <c r="AR34" s="35">
        <f t="shared" si="13"/>
        <v>0</v>
      </c>
      <c r="AS34" s="35">
        <f t="shared" si="14"/>
        <v>0</v>
      </c>
      <c r="AT34" s="35">
        <f t="shared" si="15"/>
        <v>0</v>
      </c>
      <c r="AU34" s="35" t="str">
        <f t="shared" si="16"/>
        <v/>
      </c>
      <c r="AV34" s="35" t="str">
        <f t="shared" si="17"/>
        <v/>
      </c>
      <c r="AW34" s="39">
        <f t="shared" si="18"/>
        <v>60.7</v>
      </c>
      <c r="AX34" s="39" t="str">
        <f t="shared" si="19"/>
        <v>Tier 2</v>
      </c>
      <c r="AY34" s="39" t="str">
        <f t="shared" si="20"/>
        <v>Wave 2</v>
      </c>
    </row>
    <row r="35" ht="15.75" customHeight="1">
      <c r="A35" s="34" t="str">
        <f>'1. Data - Facilities'!A35</f>
        <v>Soniwen Health Center</v>
      </c>
      <c r="B35" s="34" t="str">
        <f>'1. Data - Facilities'!B35</f>
        <v>Montserrado</v>
      </c>
      <c r="C35" s="34" t="str">
        <f>'1. Data - Facilities'!C35</f>
        <v>Health Center</v>
      </c>
      <c r="D35" s="35" t="str">
        <f>'1. Data - Facilities'!F35</f>
        <v>Grid</v>
      </c>
      <c r="E35" s="35">
        <f>'1. Data - Facilities'!G35</f>
        <v>21</v>
      </c>
      <c r="F35" s="35" t="str">
        <f>'1. Data - Facilities'!H35</f>
        <v>Some workstations</v>
      </c>
      <c r="G35" s="35" t="str">
        <f>'1. Data - Facilities'!I35</f>
        <v>Solar / Inverter only</v>
      </c>
      <c r="H35" s="35" t="str">
        <f>'1. Data - Facilities'!J35</f>
        <v/>
      </c>
      <c r="I35" s="35" t="str">
        <f>'1. Data - Facilities'!K35</f>
        <v/>
      </c>
      <c r="J35" s="35" t="str">
        <f>'1. Data - Facilities'!L35</f>
        <v/>
      </c>
      <c r="K35" s="35" t="str">
        <f>'1. Data - Facilities'!M35</f>
        <v/>
      </c>
      <c r="L35" s="35" t="str">
        <f>'1. Data - Facilities'!N35</f>
        <v/>
      </c>
      <c r="M35" s="35" t="str">
        <f>'1. Data - Facilities'!O35</f>
        <v>Weak (-85 to -100 dBm)</v>
      </c>
      <c r="N35" s="35">
        <f>'1. Data - Facilities'!P35</f>
        <v>2</v>
      </c>
      <c r="O35" s="35">
        <f>'1. Data - Facilities'!Q35</f>
        <v>0</v>
      </c>
      <c r="P35" s="35">
        <f>'1. Data - Facilities'!R35</f>
        <v>0</v>
      </c>
      <c r="Q35" s="35">
        <f>'1. Data - Facilities'!S35</f>
        <v>0</v>
      </c>
      <c r="R35" s="35">
        <f>'1. Data - Facilities'!T35</f>
        <v>66</v>
      </c>
      <c r="S35" s="35" t="str">
        <f>'1. Data - Facilities'!U35</f>
        <v>No - No Health Centerian</v>
      </c>
      <c r="T35" s="35" t="str">
        <f>'1. Data - Facilities'!V35</f>
        <v>No</v>
      </c>
      <c r="U35" s="35" t="str">
        <f>'1. Data - Facilities'!W35</f>
        <v>Integrated and routine</v>
      </c>
      <c r="V35" s="35" t="str">
        <f>'1. Data - Facilities'!X35</f>
        <v>Paper only</v>
      </c>
      <c r="W35" s="35" t="str">
        <f>'1. Data - Facilities'!Y35</f>
        <v>&gt;=90% on time</v>
      </c>
      <c r="X35" s="35" t="str">
        <f>'1. Data - Facilities'!Z35</f>
        <v>Yes - routinely</v>
      </c>
      <c r="Y35" s="35" t="str">
        <f>'1. Data - Facilities'!AA35</f>
        <v>Yes - consistently</v>
      </c>
      <c r="Z35" s="35" t="str">
        <f>'1. Data - Facilities'!AB35</f>
        <v>Yes</v>
      </c>
      <c r="AA35" s="36">
        <f>'4. Aggregate - Literacy'!C35</f>
        <v>66</v>
      </c>
      <c r="AB35" s="36">
        <f>'4. Aggregate - Literacy'!B35</f>
        <v>5</v>
      </c>
      <c r="AC35" s="36">
        <f>'5. Aggregate - Sentiment'!C35</f>
        <v>8.6</v>
      </c>
      <c r="AD35" s="36">
        <f>'5. Aggregate - Sentiment'!B35</f>
        <v>7</v>
      </c>
      <c r="AE35" s="37">
        <f t="shared" si="2"/>
        <v>66</v>
      </c>
      <c r="AF35" s="37">
        <f t="shared" si="3"/>
        <v>2</v>
      </c>
      <c r="AG35" s="37" t="str">
        <f t="shared" si="4"/>
        <v>Mobile-only</v>
      </c>
      <c r="AH35" s="38">
        <f t="shared" si="5"/>
        <v>2</v>
      </c>
      <c r="AI35" s="38">
        <f t="shared" si="6"/>
        <v>1</v>
      </c>
      <c r="AJ35" s="38">
        <f t="shared" si="7"/>
        <v>2</v>
      </c>
      <c r="AK35" s="38">
        <f t="shared" si="8"/>
        <v>2</v>
      </c>
      <c r="AL35" s="38">
        <f t="shared" si="9"/>
        <v>2</v>
      </c>
      <c r="AM35" s="38">
        <f t="shared" si="10"/>
        <v>2</v>
      </c>
      <c r="AN35" s="35">
        <f t="shared" ref="AN35:AP35" si="52">IF(AH35=0,1,0)</f>
        <v>0</v>
      </c>
      <c r="AO35" s="35">
        <f t="shared" si="52"/>
        <v>0</v>
      </c>
      <c r="AP35" s="35">
        <f t="shared" si="52"/>
        <v>0</v>
      </c>
      <c r="AQ35" s="35">
        <f t="shared" si="12"/>
        <v>0</v>
      </c>
      <c r="AR35" s="35">
        <f t="shared" si="13"/>
        <v>0</v>
      </c>
      <c r="AS35" s="35">
        <f t="shared" si="14"/>
        <v>0</v>
      </c>
      <c r="AT35" s="35">
        <f t="shared" si="15"/>
        <v>0</v>
      </c>
      <c r="AU35" s="35" t="str">
        <f t="shared" si="16"/>
        <v/>
      </c>
      <c r="AV35" s="35" t="str">
        <f t="shared" si="17"/>
        <v/>
      </c>
      <c r="AW35" s="39">
        <f t="shared" si="18"/>
        <v>60.7</v>
      </c>
      <c r="AX35" s="39" t="str">
        <f t="shared" si="19"/>
        <v>Tier 2</v>
      </c>
      <c r="AY35" s="39" t="str">
        <f t="shared" si="20"/>
        <v>Wave 2</v>
      </c>
    </row>
    <row r="36" ht="15.75" customHeight="1">
      <c r="A36" s="34" t="str">
        <f>'1. Data - Facilities'!A36</f>
        <v>Unification Town Health Center</v>
      </c>
      <c r="B36" s="34" t="str">
        <f>'1. Data - Facilities'!B36</f>
        <v>Margibi</v>
      </c>
      <c r="C36" s="34" t="str">
        <f>'1. Data - Facilities'!C36</f>
        <v>Health Center</v>
      </c>
      <c r="D36" s="35" t="str">
        <f>'1. Data - Facilities'!F36</f>
        <v>Grid</v>
      </c>
      <c r="E36" s="35">
        <f>'1. Data - Facilities'!G36</f>
        <v>24</v>
      </c>
      <c r="F36" s="35" t="str">
        <f>'1. Data - Facilities'!H36</f>
        <v/>
      </c>
      <c r="G36" s="35" t="str">
        <f>'1. Data - Facilities'!I36</f>
        <v/>
      </c>
      <c r="H36" s="35" t="str">
        <f>'1. Data - Facilities'!J36</f>
        <v/>
      </c>
      <c r="I36" s="35" t="str">
        <f>'1. Data - Facilities'!K36</f>
        <v/>
      </c>
      <c r="J36" s="35" t="str">
        <f>'1. Data - Facilities'!L36</f>
        <v/>
      </c>
      <c r="K36" s="35" t="str">
        <f>'1. Data - Facilities'!M36</f>
        <v/>
      </c>
      <c r="L36" s="35" t="str">
        <f>'1. Data - Facilities'!N36</f>
        <v/>
      </c>
      <c r="M36" s="35" t="str">
        <f>'1. Data - Facilities'!O36</f>
        <v>Moderate (-70 to -85 dBm)</v>
      </c>
      <c r="N36" s="35">
        <f>'1. Data - Facilities'!P36</f>
        <v>0</v>
      </c>
      <c r="O36" s="35">
        <f>'1. Data - Facilities'!Q36</f>
        <v>0</v>
      </c>
      <c r="P36" s="35">
        <f>'1. Data - Facilities'!R36</f>
        <v>0</v>
      </c>
      <c r="Q36" s="35">
        <f>'1. Data - Facilities'!S36</f>
        <v>0</v>
      </c>
      <c r="R36" s="35">
        <f>'1. Data - Facilities'!T36</f>
        <v>45</v>
      </c>
      <c r="S36" s="35" t="str">
        <f>'1. Data - Facilities'!U36</f>
        <v>No - No Health Centerian</v>
      </c>
      <c r="T36" s="35" t="str">
        <f>'1. Data - Facilities'!V36</f>
        <v>No</v>
      </c>
      <c r="U36" s="35" t="str">
        <f>'1. Data - Facilities'!W36</f>
        <v/>
      </c>
      <c r="V36" s="35" t="str">
        <f>'1. Data - Facilities'!X36</f>
        <v>Paper only</v>
      </c>
      <c r="W36" s="35" t="str">
        <f>'1. Data - Facilities'!Y36</f>
        <v>&gt;=90% on time</v>
      </c>
      <c r="X36" s="35" t="str">
        <f>'1. Data - Facilities'!Z36</f>
        <v>Yes - Inconsistently</v>
      </c>
      <c r="Y36" s="35" t="str">
        <f>'1. Data - Facilities'!AA36</f>
        <v>No</v>
      </c>
      <c r="Z36" s="35" t="str">
        <f>'1. Data - Facilities'!AB36</f>
        <v>Yes</v>
      </c>
      <c r="AA36" s="36">
        <f>'4. Aggregate - Literacy'!C36</f>
        <v>45</v>
      </c>
      <c r="AB36" s="36">
        <f>'4. Aggregate - Literacy'!B36</f>
        <v>2</v>
      </c>
      <c r="AC36" s="36">
        <f>'5. Aggregate - Sentiment'!C36</f>
        <v>8.3</v>
      </c>
      <c r="AD36" s="36">
        <f>'5. Aggregate - Sentiment'!B36</f>
        <v>3</v>
      </c>
      <c r="AE36" s="37">
        <f t="shared" si="2"/>
        <v>45</v>
      </c>
      <c r="AF36" s="37">
        <f t="shared" si="3"/>
        <v>0</v>
      </c>
      <c r="AG36" s="37" t="str">
        <f t="shared" si="4"/>
        <v>Mobile-only</v>
      </c>
      <c r="AH36" s="38">
        <f t="shared" si="5"/>
        <v>1</v>
      </c>
      <c r="AI36" s="38">
        <f t="shared" si="6"/>
        <v>2</v>
      </c>
      <c r="AJ36" s="38">
        <f t="shared" si="7"/>
        <v>0</v>
      </c>
      <c r="AK36" s="38">
        <f t="shared" si="8"/>
        <v>1</v>
      </c>
      <c r="AL36" s="38">
        <f t="shared" si="9"/>
        <v>2</v>
      </c>
      <c r="AM36" s="38">
        <f t="shared" si="10"/>
        <v>2</v>
      </c>
      <c r="AN36" s="35">
        <f t="shared" ref="AN36:AP36" si="53">IF(AH36=0,1,0)</f>
        <v>0</v>
      </c>
      <c r="AO36" s="35">
        <f t="shared" si="53"/>
        <v>0</v>
      </c>
      <c r="AP36" s="35">
        <f t="shared" si="53"/>
        <v>1</v>
      </c>
      <c r="AQ36" s="35">
        <f t="shared" si="12"/>
        <v>1</v>
      </c>
      <c r="AR36" s="35">
        <f t="shared" si="13"/>
        <v>1</v>
      </c>
      <c r="AS36" s="35">
        <f t="shared" si="14"/>
        <v>0</v>
      </c>
      <c r="AT36" s="35">
        <f t="shared" si="15"/>
        <v>3</v>
      </c>
      <c r="AU36" s="35" t="str">
        <f t="shared" si="16"/>
        <v>BLK-03 BLK-04 BLK-05</v>
      </c>
      <c r="AV36" s="35" t="str">
        <f t="shared" si="17"/>
        <v>BLK-03: Zero computers or tablets | BLK-04: Not reporting to DHIS2 | BLK-05: No IT support |</v>
      </c>
      <c r="AW36" s="39">
        <f t="shared" si="18"/>
        <v>43.3</v>
      </c>
      <c r="AX36" s="39" t="str">
        <f t="shared" si="19"/>
        <v>Tier 3</v>
      </c>
      <c r="AY36" s="39" t="str">
        <f t="shared" si="20"/>
        <v>—</v>
      </c>
    </row>
    <row r="37" ht="15.75" customHeight="1">
      <c r="A37" s="34" t="str">
        <f>'1. Data - Facilities'!A37</f>
        <v>Vahun Health Center</v>
      </c>
      <c r="B37" s="34" t="str">
        <f>'1. Data - Facilities'!B37</f>
        <v>Nimba</v>
      </c>
      <c r="C37" s="34" t="str">
        <f>'1. Data - Facilities'!C37</f>
        <v>Health Center</v>
      </c>
      <c r="D37" s="35" t="str">
        <f>'1. Data - Facilities'!F37</f>
        <v>Generator</v>
      </c>
      <c r="E37" s="35">
        <f>'1. Data - Facilities'!G37</f>
        <v>140</v>
      </c>
      <c r="F37" s="35" t="str">
        <f>'1. Data - Facilities'!H37</f>
        <v/>
      </c>
      <c r="G37" s="35" t="str">
        <f>'1. Data - Facilities'!I37</f>
        <v>Generator only</v>
      </c>
      <c r="H37" s="35" t="str">
        <f>'1. Data - Facilities'!J37</f>
        <v>Starlink</v>
      </c>
      <c r="I37" s="35">
        <f>'1. Data - Facilities'!K37</f>
        <v>12.2</v>
      </c>
      <c r="J37" s="35">
        <f>'1. Data - Facilities'!L37</f>
        <v>3.77</v>
      </c>
      <c r="K37" s="35">
        <f>'1. Data - Facilities'!M37</f>
        <v>90</v>
      </c>
      <c r="L37" s="35" t="str">
        <f>'1. Data - Facilities'!N37</f>
        <v>High / unstable (&gt;200ms)</v>
      </c>
      <c r="M37" s="35" t="str">
        <f>'1. Data - Facilities'!O37</f>
        <v>None (below -100 dBm or no signal)</v>
      </c>
      <c r="N37" s="35">
        <f>'1. Data - Facilities'!P37</f>
        <v>3</v>
      </c>
      <c r="O37" s="35">
        <f>'1. Data - Facilities'!Q37</f>
        <v>2</v>
      </c>
      <c r="P37" s="35">
        <f>'1. Data - Facilities'!R37</f>
        <v>0</v>
      </c>
      <c r="Q37" s="35">
        <f>'1. Data - Facilities'!S37</f>
        <v>0</v>
      </c>
      <c r="R37" s="35">
        <f>'1. Data - Facilities'!T37</f>
        <v>84</v>
      </c>
      <c r="S37" s="35" t="str">
        <f>'1. Data - Facilities'!U37</f>
        <v>No - No Health Centerian</v>
      </c>
      <c r="T37" s="35" t="str">
        <f>'1. Data - Facilities'!V37</f>
        <v>No</v>
      </c>
      <c r="U37" s="35" t="str">
        <f>'1. Data - Facilities'!W37</f>
        <v>Exists but inconsistent usage</v>
      </c>
      <c r="V37" s="35" t="str">
        <f>'1. Data - Facilities'!X37</f>
        <v>Paper only</v>
      </c>
      <c r="W37" s="35" t="str">
        <f>'1. Data - Facilities'!Y37</f>
        <v>&gt;=90% on time</v>
      </c>
      <c r="X37" s="35" t="str">
        <f>'1. Data - Facilities'!Z37</f>
        <v>Yes - routinely</v>
      </c>
      <c r="Y37" s="35" t="str">
        <f>'1. Data - Facilities'!AA37</f>
        <v>Yes - consistently</v>
      </c>
      <c r="Z37" s="35" t="str">
        <f>'1. Data - Facilities'!AB37</f>
        <v>Yes</v>
      </c>
      <c r="AA37" s="36">
        <f>'4. Aggregate - Literacy'!C37</f>
        <v>84</v>
      </c>
      <c r="AB37" s="36">
        <f>'4. Aggregate - Literacy'!B37</f>
        <v>5</v>
      </c>
      <c r="AC37" s="36">
        <f>'5. Aggregate - Sentiment'!C37</f>
        <v>10</v>
      </c>
      <c r="AD37" s="36">
        <f>'5. Aggregate - Sentiment'!B37</f>
        <v>6</v>
      </c>
      <c r="AE37" s="37">
        <f t="shared" si="2"/>
        <v>84</v>
      </c>
      <c r="AF37" s="37">
        <f t="shared" si="3"/>
        <v>5</v>
      </c>
      <c r="AG37" s="37" t="str">
        <f t="shared" si="4"/>
        <v>Moderate</v>
      </c>
      <c r="AH37" s="38">
        <f t="shared" si="5"/>
        <v>2</v>
      </c>
      <c r="AI37" s="38">
        <f t="shared" si="6"/>
        <v>2</v>
      </c>
      <c r="AJ37" s="38">
        <f t="shared" si="7"/>
        <v>2</v>
      </c>
      <c r="AK37" s="38">
        <f t="shared" si="8"/>
        <v>2</v>
      </c>
      <c r="AL37" s="38">
        <f t="shared" si="9"/>
        <v>2</v>
      </c>
      <c r="AM37" s="38">
        <f t="shared" si="10"/>
        <v>2</v>
      </c>
      <c r="AN37" s="35">
        <f t="shared" ref="AN37:AP37" si="54">IF(AH37=0,1,0)</f>
        <v>0</v>
      </c>
      <c r="AO37" s="35">
        <f t="shared" si="54"/>
        <v>0</v>
      </c>
      <c r="AP37" s="35">
        <f t="shared" si="54"/>
        <v>0</v>
      </c>
      <c r="AQ37" s="35">
        <f t="shared" si="12"/>
        <v>0</v>
      </c>
      <c r="AR37" s="35">
        <f t="shared" si="13"/>
        <v>0</v>
      </c>
      <c r="AS37" s="35">
        <f t="shared" si="14"/>
        <v>0</v>
      </c>
      <c r="AT37" s="35">
        <f t="shared" si="15"/>
        <v>0</v>
      </c>
      <c r="AU37" s="35" t="str">
        <f t="shared" si="16"/>
        <v/>
      </c>
      <c r="AV37" s="35" t="str">
        <f t="shared" si="17"/>
        <v/>
      </c>
      <c r="AW37" s="39">
        <f t="shared" si="18"/>
        <v>66.7</v>
      </c>
      <c r="AX37" s="39" t="str">
        <f t="shared" si="19"/>
        <v>Tier 2</v>
      </c>
      <c r="AY37" s="39" t="str">
        <f t="shared" si="20"/>
        <v>Wave 2</v>
      </c>
    </row>
    <row r="38" ht="15.75" customHeight="1">
      <c r="A38" s="34" t="str">
        <f>'1. Data - Facilities'!A38</f>
        <v>WAHO  Health Center</v>
      </c>
      <c r="B38" s="34" t="str">
        <f>'1. Data - Facilities'!B38</f>
        <v>Grand Cape Mount</v>
      </c>
      <c r="C38" s="34" t="str">
        <f>'1. Data - Facilities'!C38</f>
        <v>Health Center</v>
      </c>
      <c r="D38" s="35" t="str">
        <f>'1. Data - Facilities'!F38</f>
        <v>Solar / Inverter</v>
      </c>
      <c r="E38" s="35">
        <f>'1. Data - Facilities'!G38</f>
        <v>24</v>
      </c>
      <c r="F38" s="35" t="str">
        <f>'1. Data - Facilities'!H38</f>
        <v/>
      </c>
      <c r="G38" s="35" t="str">
        <f>'1. Data - Facilities'!I38</f>
        <v>Multiple backup systems (specify below)</v>
      </c>
      <c r="H38" s="35" t="str">
        <f>'1. Data - Facilities'!J38</f>
        <v/>
      </c>
      <c r="I38" s="35" t="str">
        <f>'1. Data - Facilities'!K38</f>
        <v/>
      </c>
      <c r="J38" s="35" t="str">
        <f>'1. Data - Facilities'!L38</f>
        <v/>
      </c>
      <c r="K38" s="35" t="str">
        <f>'1. Data - Facilities'!M38</f>
        <v/>
      </c>
      <c r="L38" s="35" t="str">
        <f>'1. Data - Facilities'!N38</f>
        <v/>
      </c>
      <c r="M38" s="35" t="str">
        <f>'1. Data - Facilities'!O38</f>
        <v>Weak (-85 to -100 dBm)</v>
      </c>
      <c r="N38" s="35">
        <f>'1. Data - Facilities'!P38</f>
        <v>2</v>
      </c>
      <c r="O38" s="35">
        <f>'1. Data - Facilities'!Q38</f>
        <v>0</v>
      </c>
      <c r="P38" s="35">
        <f>'1. Data - Facilities'!R38</f>
        <v>1</v>
      </c>
      <c r="Q38" s="35">
        <f>'1. Data - Facilities'!S38</f>
        <v>0</v>
      </c>
      <c r="R38" s="35">
        <f>'1. Data - Facilities'!T38</f>
        <v>70</v>
      </c>
      <c r="S38" s="35" t="str">
        <f>'1. Data - Facilities'!U38</f>
        <v>No - No Health Centerian</v>
      </c>
      <c r="T38" s="35" t="str">
        <f>'1. Data - Facilities'!V38</f>
        <v>No</v>
      </c>
      <c r="U38" s="35" t="str">
        <f>'1. Data - Facilities'!W38</f>
        <v>Integrated and routine</v>
      </c>
      <c r="V38" s="35" t="str">
        <f>'1. Data - Facilities'!X38</f>
        <v>Paper only</v>
      </c>
      <c r="W38" s="35" t="str">
        <f>'1. Data - Facilities'!Y38</f>
        <v>&gt;=90% on time</v>
      </c>
      <c r="X38" s="35" t="str">
        <f>'1. Data - Facilities'!Z38</f>
        <v>Yes - routinely</v>
      </c>
      <c r="Y38" s="35" t="str">
        <f>'1. Data - Facilities'!AA38</f>
        <v>No</v>
      </c>
      <c r="Z38" s="35" t="str">
        <f>'1. Data - Facilities'!AB38</f>
        <v>Yes</v>
      </c>
      <c r="AA38" s="36">
        <f>'4. Aggregate - Literacy'!C38</f>
        <v>73</v>
      </c>
      <c r="AB38" s="36">
        <f>'4. Aggregate - Literacy'!B38</f>
        <v>6</v>
      </c>
      <c r="AC38" s="36">
        <f>'5. Aggregate - Sentiment'!C38</f>
        <v>10</v>
      </c>
      <c r="AD38" s="36">
        <f>'5. Aggregate - Sentiment'!B38</f>
        <v>3</v>
      </c>
      <c r="AE38" s="37">
        <f t="shared" si="2"/>
        <v>73</v>
      </c>
      <c r="AF38" s="37">
        <f t="shared" si="3"/>
        <v>3</v>
      </c>
      <c r="AG38" s="37" t="str">
        <f t="shared" si="4"/>
        <v>Mobile-only</v>
      </c>
      <c r="AH38" s="38">
        <f t="shared" si="5"/>
        <v>2</v>
      </c>
      <c r="AI38" s="38">
        <f t="shared" si="6"/>
        <v>1</v>
      </c>
      <c r="AJ38" s="38">
        <f t="shared" si="7"/>
        <v>2</v>
      </c>
      <c r="AK38" s="38">
        <f t="shared" si="8"/>
        <v>2</v>
      </c>
      <c r="AL38" s="38">
        <f t="shared" si="9"/>
        <v>2</v>
      </c>
      <c r="AM38" s="38">
        <f t="shared" si="10"/>
        <v>2</v>
      </c>
      <c r="AN38" s="35">
        <f t="shared" ref="AN38:AP38" si="55">IF(AH38=0,1,0)</f>
        <v>0</v>
      </c>
      <c r="AO38" s="35">
        <f t="shared" si="55"/>
        <v>0</v>
      </c>
      <c r="AP38" s="35">
        <f t="shared" si="55"/>
        <v>0</v>
      </c>
      <c r="AQ38" s="35">
        <f t="shared" si="12"/>
        <v>1</v>
      </c>
      <c r="AR38" s="35">
        <f t="shared" si="13"/>
        <v>0</v>
      </c>
      <c r="AS38" s="35">
        <f t="shared" si="14"/>
        <v>0</v>
      </c>
      <c r="AT38" s="35">
        <f t="shared" si="15"/>
        <v>1</v>
      </c>
      <c r="AU38" s="35" t="str">
        <f t="shared" si="16"/>
        <v>BLK-04</v>
      </c>
      <c r="AV38" s="35" t="str">
        <f t="shared" si="17"/>
        <v>BLK-04: Not reporting to DHIS2 |</v>
      </c>
      <c r="AW38" s="39">
        <f t="shared" si="18"/>
        <v>60.7</v>
      </c>
      <c r="AX38" s="39" t="str">
        <f t="shared" si="19"/>
        <v>Tier 3</v>
      </c>
      <c r="AY38" s="39" t="str">
        <f t="shared" si="20"/>
        <v>—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5.0"/>
    <col customWidth="1" min="4" max="4" width="17.0"/>
    <col customWidth="1" min="5" max="5" width="12.0"/>
    <col customWidth="1" min="6" max="11" width="7.0"/>
    <col customWidth="1" min="12" max="12" width="10.0"/>
    <col customWidth="1" min="13" max="13" width="8.0"/>
    <col customWidth="1" min="14" max="14" width="9.0"/>
    <col customWidth="1" min="15" max="15" width="22.0"/>
    <col customWidth="1" min="16" max="16" width="40.14"/>
    <col customWidth="1" min="17" max="17" width="7.0"/>
    <col customWidth="1" min="18" max="19" width="6.0"/>
    <col customWidth="1" min="20" max="27" width="8.71"/>
  </cols>
  <sheetData>
    <row r="1" ht="30.0" customHeight="1">
      <c r="A1" s="16" t="s">
        <v>253</v>
      </c>
      <c r="B1" s="16" t="s">
        <v>39</v>
      </c>
      <c r="C1" s="16" t="s">
        <v>40</v>
      </c>
      <c r="D1" s="16" t="s">
        <v>254</v>
      </c>
      <c r="E1" s="16" t="s">
        <v>41</v>
      </c>
      <c r="F1" s="16" t="s">
        <v>255</v>
      </c>
      <c r="G1" s="16" t="s">
        <v>256</v>
      </c>
      <c r="H1" s="16" t="s">
        <v>257</v>
      </c>
      <c r="I1" s="16" t="s">
        <v>258</v>
      </c>
      <c r="J1" s="16" t="s">
        <v>259</v>
      </c>
      <c r="K1" s="16" t="s">
        <v>260</v>
      </c>
      <c r="L1" s="16" t="s">
        <v>261</v>
      </c>
      <c r="M1" s="16" t="s">
        <v>262</v>
      </c>
      <c r="N1" s="16" t="s">
        <v>263</v>
      </c>
      <c r="O1" s="16" t="s">
        <v>264</v>
      </c>
      <c r="P1" s="17" t="s">
        <v>265</v>
      </c>
      <c r="Q1" s="16" t="s">
        <v>266</v>
      </c>
      <c r="R1" s="16" t="s">
        <v>229</v>
      </c>
      <c r="S1" s="16" t="s">
        <v>231</v>
      </c>
    </row>
    <row r="2">
      <c r="A2" s="6">
        <f t="shared" ref="A2:A38" si="1">RANK(L2,$L$2:$L$38)</f>
        <v>1</v>
      </c>
      <c r="B2" s="7" t="str">
        <f>'6. Scoring Engine'!A2</f>
        <v>Bahn Health Center</v>
      </c>
      <c r="C2" s="7" t="str">
        <f>'6. Scoring Engine'!B2</f>
        <v>Nimba</v>
      </c>
      <c r="D2" s="7" t="str">
        <f t="shared" ref="D2:D38" si="2">IF(C2="Montserrado","Montserrado",IF(C2="Margibi","Margibi",IF(OR(C2="Bomi",C2="Grand Cape Mount"),"Grand Cape Mount",IF(C2="Lofa","Lofa",IF(OR(C2="Nimba",C2="Bong"),"Nimba","Southeast")))))</f>
        <v>Nimba</v>
      </c>
      <c r="E2" s="6" t="str">
        <f>'6. Scoring Engine'!C2</f>
        <v>Health Center</v>
      </c>
      <c r="F2" s="6">
        <f>'6. Scoring Engine'!AH2</f>
        <v>2</v>
      </c>
      <c r="G2" s="6">
        <f>'6. Scoring Engine'!AI2</f>
        <v>3</v>
      </c>
      <c r="H2" s="6">
        <f>'6. Scoring Engine'!AJ2</f>
        <v>3</v>
      </c>
      <c r="I2" s="6">
        <f>'6. Scoring Engine'!AK2</f>
        <v>2</v>
      </c>
      <c r="J2" s="6">
        <f>'6. Scoring Engine'!AL2</f>
        <v>2</v>
      </c>
      <c r="K2" s="6">
        <f>'6. Scoring Engine'!AM2</f>
        <v>2</v>
      </c>
      <c r="L2" s="6">
        <f>'6. Scoring Engine'!AW2</f>
        <v>77</v>
      </c>
      <c r="M2" s="40" t="str">
        <f>'6. Scoring Engine'!AX2</f>
        <v>Tier 1</v>
      </c>
      <c r="N2" s="6" t="str">
        <f>'6. Scoring Engine'!AY2</f>
        <v>Wave 1</v>
      </c>
      <c r="O2" s="7" t="str">
        <f>'6. Scoring Engine'!AU2</f>
        <v/>
      </c>
      <c r="P2" s="7" t="str">
        <f>'6. Scoring Engine'!AV2</f>
        <v/>
      </c>
      <c r="Q2" s="6">
        <f>'6. Scoring Engine'!AA2</f>
        <v>72</v>
      </c>
      <c r="R2" s="6">
        <f>'6. Scoring Engine'!AB2</f>
        <v>5</v>
      </c>
      <c r="S2" s="6">
        <f>'6. Scoring Engine'!AD2</f>
        <v>5</v>
      </c>
    </row>
    <row r="3">
      <c r="A3" s="6">
        <f t="shared" si="1"/>
        <v>11</v>
      </c>
      <c r="B3" s="7" t="str">
        <f>'6. Scoring Engine'!A3</f>
        <v>Barnersville HC</v>
      </c>
      <c r="C3" s="7" t="str">
        <f>'6. Scoring Engine'!B3</f>
        <v>Montserrado</v>
      </c>
      <c r="D3" s="7" t="str">
        <f t="shared" si="2"/>
        <v>Montserrado</v>
      </c>
      <c r="E3" s="6" t="str">
        <f>'6. Scoring Engine'!C3</f>
        <v>Health Center</v>
      </c>
      <c r="F3" s="6">
        <f>'6. Scoring Engine'!AH3</f>
        <v>2</v>
      </c>
      <c r="G3" s="6">
        <f>'6. Scoring Engine'!AI3</f>
        <v>1</v>
      </c>
      <c r="H3" s="6">
        <f>'6. Scoring Engine'!AJ3</f>
        <v>2</v>
      </c>
      <c r="I3" s="6">
        <f>'6. Scoring Engine'!AK3</f>
        <v>2</v>
      </c>
      <c r="J3" s="6">
        <f>'6. Scoring Engine'!AL3</f>
        <v>2</v>
      </c>
      <c r="K3" s="6">
        <f>'6. Scoring Engine'!AM3</f>
        <v>2</v>
      </c>
      <c r="L3" s="6">
        <f>'6. Scoring Engine'!AW3</f>
        <v>60.7</v>
      </c>
      <c r="M3" s="40" t="str">
        <f>'6. Scoring Engine'!AX3</f>
        <v>Tier 2</v>
      </c>
      <c r="N3" s="6" t="str">
        <f>'6. Scoring Engine'!AY3</f>
        <v>Wave 2</v>
      </c>
      <c r="O3" s="7" t="str">
        <f>'6. Scoring Engine'!AU3</f>
        <v/>
      </c>
      <c r="P3" s="7" t="str">
        <f>'6. Scoring Engine'!AV3</f>
        <v/>
      </c>
      <c r="Q3" s="6">
        <f>'6. Scoring Engine'!AA3</f>
        <v>78</v>
      </c>
      <c r="R3" s="6">
        <f>'6. Scoring Engine'!AB3</f>
        <v>5</v>
      </c>
      <c r="S3" s="6">
        <f>'6. Scoring Engine'!AD3</f>
        <v>5</v>
      </c>
    </row>
    <row r="4">
      <c r="A4" s="6">
        <f t="shared" si="1"/>
        <v>31</v>
      </c>
      <c r="B4" s="7" t="str">
        <f>'6. Scoring Engine'!A4</f>
        <v>Boegeezay Health Center</v>
      </c>
      <c r="C4" s="7" t="str">
        <f>'6. Scoring Engine'!B4</f>
        <v>River Cess</v>
      </c>
      <c r="D4" s="7" t="str">
        <f t="shared" si="2"/>
        <v>Southeast</v>
      </c>
      <c r="E4" s="6" t="str">
        <f>'6. Scoring Engine'!C4</f>
        <v>Health Center</v>
      </c>
      <c r="F4" s="6">
        <f>'6. Scoring Engine'!AH4</f>
        <v>1</v>
      </c>
      <c r="G4" s="6">
        <f>'6. Scoring Engine'!AI4</f>
        <v>1</v>
      </c>
      <c r="H4" s="6">
        <f>'6. Scoring Engine'!AJ4</f>
        <v>2</v>
      </c>
      <c r="I4" s="6">
        <f>'6. Scoring Engine'!AK4</f>
        <v>2</v>
      </c>
      <c r="J4" s="6">
        <f>'6. Scoring Engine'!AL4</f>
        <v>2</v>
      </c>
      <c r="K4" s="6">
        <f>'6. Scoring Engine'!AM4</f>
        <v>2</v>
      </c>
      <c r="L4" s="6">
        <f>'6. Scoring Engine'!AW4</f>
        <v>53.3</v>
      </c>
      <c r="M4" s="40" t="str">
        <f>'6. Scoring Engine'!AX4</f>
        <v>Tier 2</v>
      </c>
      <c r="N4" s="6" t="str">
        <f>'6. Scoring Engine'!AY4</f>
        <v>Wave 2</v>
      </c>
      <c r="O4" s="7" t="str">
        <f>'6. Scoring Engine'!AU4</f>
        <v/>
      </c>
      <c r="P4" s="7" t="str">
        <f>'6. Scoring Engine'!AV4</f>
        <v/>
      </c>
      <c r="Q4" s="6">
        <f>'6. Scoring Engine'!AA4</f>
        <v>74</v>
      </c>
      <c r="R4" s="6">
        <f>'6. Scoring Engine'!AB4</f>
        <v>5</v>
      </c>
      <c r="S4" s="6">
        <f>'6. Scoring Engine'!AD4</f>
        <v>5</v>
      </c>
    </row>
    <row r="5">
      <c r="A5" s="6">
        <f t="shared" si="1"/>
        <v>36</v>
      </c>
      <c r="B5" s="7" t="str">
        <f>'6. Scoring Engine'!A5</f>
        <v>Bromely Community Health Center</v>
      </c>
      <c r="C5" s="7" t="str">
        <f>'6. Scoring Engine'!B5</f>
        <v>Montserrado</v>
      </c>
      <c r="D5" s="7" t="str">
        <f t="shared" si="2"/>
        <v>Montserrado</v>
      </c>
      <c r="E5" s="6" t="str">
        <f>'6. Scoring Engine'!C5</f>
        <v>Health Center</v>
      </c>
      <c r="F5" s="6">
        <f>'6. Scoring Engine'!AH5</f>
        <v>0</v>
      </c>
      <c r="G5" s="6">
        <f>'6. Scoring Engine'!AI5</f>
        <v>2</v>
      </c>
      <c r="H5" s="6">
        <f>'6. Scoring Engine'!AJ5</f>
        <v>0</v>
      </c>
      <c r="I5" s="6">
        <f>'6. Scoring Engine'!AK5</f>
        <v>2</v>
      </c>
      <c r="J5" s="6">
        <f>'6. Scoring Engine'!AL5</f>
        <v>2</v>
      </c>
      <c r="K5" s="6">
        <f>'6. Scoring Engine'!AM5</f>
        <v>2</v>
      </c>
      <c r="L5" s="6">
        <f>'6. Scoring Engine'!AW5</f>
        <v>43.3</v>
      </c>
      <c r="M5" s="40" t="str">
        <f>'6. Scoring Engine'!AX5</f>
        <v>Tier 3</v>
      </c>
      <c r="N5" s="6" t="str">
        <f>'6. Scoring Engine'!AY5</f>
        <v>—</v>
      </c>
      <c r="O5" s="7" t="str">
        <f>'6. Scoring Engine'!AU5</f>
        <v>BLK-01 BLK-03 BLK-05</v>
      </c>
      <c r="P5" s="7" t="str">
        <f>'6. Scoring Engine'!AV5</f>
        <v>BLK-01: No primary power | BLK-03: Zero computers or tablets | BLK-05: No IT support |</v>
      </c>
      <c r="Q5" s="6">
        <f>'6. Scoring Engine'!AA5</f>
        <v>73</v>
      </c>
      <c r="R5" s="6">
        <f>'6. Scoring Engine'!AB5</f>
        <v>3</v>
      </c>
      <c r="S5" s="6">
        <f>'6. Scoring Engine'!AD5</f>
        <v>6</v>
      </c>
    </row>
    <row r="6">
      <c r="A6" s="6">
        <f t="shared" si="1"/>
        <v>11</v>
      </c>
      <c r="B6" s="7" t="str">
        <f>'6. Scoring Engine'!A6</f>
        <v>Chocolate City HC</v>
      </c>
      <c r="C6" s="7" t="str">
        <f>'6. Scoring Engine'!B6</f>
        <v>Montserrado</v>
      </c>
      <c r="D6" s="7" t="str">
        <f t="shared" si="2"/>
        <v>Montserrado</v>
      </c>
      <c r="E6" s="6" t="str">
        <f>'6. Scoring Engine'!C6</f>
        <v>Health Center</v>
      </c>
      <c r="F6" s="6">
        <f>'6. Scoring Engine'!AH6</f>
        <v>2</v>
      </c>
      <c r="G6" s="6">
        <f>'6. Scoring Engine'!AI6</f>
        <v>1</v>
      </c>
      <c r="H6" s="6">
        <f>'6. Scoring Engine'!AJ6</f>
        <v>2</v>
      </c>
      <c r="I6" s="6">
        <f>'6. Scoring Engine'!AK6</f>
        <v>2</v>
      </c>
      <c r="J6" s="6">
        <f>'6. Scoring Engine'!AL6</f>
        <v>2</v>
      </c>
      <c r="K6" s="6">
        <f>'6. Scoring Engine'!AM6</f>
        <v>2</v>
      </c>
      <c r="L6" s="6">
        <f>'6. Scoring Engine'!AW6</f>
        <v>60.7</v>
      </c>
      <c r="M6" s="40" t="str">
        <f>'6. Scoring Engine'!AX6</f>
        <v>Tier 2</v>
      </c>
      <c r="N6" s="6" t="str">
        <f>'6. Scoring Engine'!AY6</f>
        <v>Wave 2</v>
      </c>
      <c r="O6" s="7" t="str">
        <f>'6. Scoring Engine'!AU6</f>
        <v/>
      </c>
      <c r="P6" s="7" t="str">
        <f>'6. Scoring Engine'!AV6</f>
        <v/>
      </c>
      <c r="Q6" s="6">
        <f>'6. Scoring Engine'!AA6</f>
        <v>74</v>
      </c>
      <c r="R6" s="6">
        <f>'6. Scoring Engine'!AB6</f>
        <v>5</v>
      </c>
      <c r="S6" s="6">
        <f>'6. Scoring Engine'!AD6</f>
        <v>5</v>
      </c>
    </row>
    <row r="7">
      <c r="A7" s="6">
        <f t="shared" si="1"/>
        <v>11</v>
      </c>
      <c r="B7" s="7" t="str">
        <f>'6. Scoring Engine'!A7</f>
        <v>Clara Town Health Center</v>
      </c>
      <c r="C7" s="7" t="str">
        <f>'6. Scoring Engine'!B7</f>
        <v>Montserrado</v>
      </c>
      <c r="D7" s="7" t="str">
        <f t="shared" si="2"/>
        <v>Montserrado</v>
      </c>
      <c r="E7" s="6" t="str">
        <f>'6. Scoring Engine'!C7</f>
        <v>Health Center</v>
      </c>
      <c r="F7" s="6">
        <f>'6. Scoring Engine'!AH7</f>
        <v>2</v>
      </c>
      <c r="G7" s="6">
        <f>'6. Scoring Engine'!AI7</f>
        <v>1</v>
      </c>
      <c r="H7" s="6">
        <f>'6. Scoring Engine'!AJ7</f>
        <v>2</v>
      </c>
      <c r="I7" s="6">
        <f>'6. Scoring Engine'!AK7</f>
        <v>2</v>
      </c>
      <c r="J7" s="6">
        <f>'6. Scoring Engine'!AL7</f>
        <v>2</v>
      </c>
      <c r="K7" s="6">
        <f>'6. Scoring Engine'!AM7</f>
        <v>2</v>
      </c>
      <c r="L7" s="6">
        <f>'6. Scoring Engine'!AW7</f>
        <v>60.7</v>
      </c>
      <c r="M7" s="40" t="str">
        <f>'6. Scoring Engine'!AX7</f>
        <v>Tier 2</v>
      </c>
      <c r="N7" s="6" t="str">
        <f>'6. Scoring Engine'!AY7</f>
        <v>Wave 2</v>
      </c>
      <c r="O7" s="7" t="str">
        <f>'6. Scoring Engine'!AU7</f>
        <v/>
      </c>
      <c r="P7" s="7" t="str">
        <f>'6. Scoring Engine'!AV7</f>
        <v/>
      </c>
      <c r="Q7" s="6">
        <f>'6. Scoring Engine'!AA7</f>
        <v>72</v>
      </c>
      <c r="R7" s="6">
        <f>'6. Scoring Engine'!AB7</f>
        <v>5</v>
      </c>
      <c r="S7" s="6">
        <f>'6. Scoring Engine'!AD7</f>
        <v>5</v>
      </c>
    </row>
    <row r="8">
      <c r="A8" s="6">
        <f t="shared" si="1"/>
        <v>19</v>
      </c>
      <c r="B8" s="7" t="str">
        <f>'6. Scoring Engine'!A8</f>
        <v>Cotton Tree Health Center</v>
      </c>
      <c r="C8" s="7" t="str">
        <f>'6. Scoring Engine'!B8</f>
        <v>Margibi</v>
      </c>
      <c r="D8" s="7" t="str">
        <f t="shared" si="2"/>
        <v>Margibi</v>
      </c>
      <c r="E8" s="6" t="str">
        <f>'6. Scoring Engine'!C8</f>
        <v>Health Center</v>
      </c>
      <c r="F8" s="6">
        <f>'6. Scoring Engine'!AH8</f>
        <v>2</v>
      </c>
      <c r="G8" s="6">
        <f>'6. Scoring Engine'!AI8</f>
        <v>2</v>
      </c>
      <c r="H8" s="6">
        <f>'6. Scoring Engine'!AJ8</f>
        <v>0</v>
      </c>
      <c r="I8" s="6">
        <f>'6. Scoring Engine'!AK8</f>
        <v>2</v>
      </c>
      <c r="J8" s="6">
        <f>'6. Scoring Engine'!AL8</f>
        <v>2</v>
      </c>
      <c r="K8" s="6">
        <f>'6. Scoring Engine'!AM8</f>
        <v>2</v>
      </c>
      <c r="L8" s="6">
        <f>'6. Scoring Engine'!AW8</f>
        <v>58</v>
      </c>
      <c r="M8" s="40" t="str">
        <f>'6. Scoring Engine'!AX8</f>
        <v>Tier 3</v>
      </c>
      <c r="N8" s="6" t="str">
        <f>'6. Scoring Engine'!AY8</f>
        <v>—</v>
      </c>
      <c r="O8" s="7" t="str">
        <f>'6. Scoring Engine'!AU8</f>
        <v>BLK-03 BLK-05</v>
      </c>
      <c r="P8" s="7" t="str">
        <f>'6. Scoring Engine'!AV8</f>
        <v>BLK-03: Zero computers or tablets | BLK-05: No IT support |</v>
      </c>
      <c r="Q8" s="6">
        <f>'6. Scoring Engine'!AA8</f>
        <v>77</v>
      </c>
      <c r="R8" s="6">
        <f>'6. Scoring Engine'!AB8</f>
        <v>3</v>
      </c>
      <c r="S8" s="6">
        <f>'6. Scoring Engine'!AD8</f>
        <v>4</v>
      </c>
    </row>
    <row r="9">
      <c r="A9" s="6">
        <f t="shared" si="1"/>
        <v>23</v>
      </c>
      <c r="B9" s="7" t="str">
        <f>'6. Scoring Engine'!A9</f>
        <v>Damballa Health Center</v>
      </c>
      <c r="C9" s="7" t="str">
        <f>'6. Scoring Engine'!B9</f>
        <v>Grand Cape Mount</v>
      </c>
      <c r="D9" s="7" t="str">
        <f t="shared" si="2"/>
        <v>Grand Cape Mount</v>
      </c>
      <c r="E9" s="6" t="str">
        <f>'6. Scoring Engine'!C9</f>
        <v>Health Center</v>
      </c>
      <c r="F9" s="6">
        <f>'6. Scoring Engine'!AH9</f>
        <v>2</v>
      </c>
      <c r="G9" s="6">
        <f>'6. Scoring Engine'!AI9</f>
        <v>1</v>
      </c>
      <c r="H9" s="6">
        <f>'6. Scoring Engine'!AJ9</f>
        <v>2</v>
      </c>
      <c r="I9" s="6">
        <f>'6. Scoring Engine'!AK9</f>
        <v>2</v>
      </c>
      <c r="J9" s="6">
        <f>'6. Scoring Engine'!AL9</f>
        <v>2</v>
      </c>
      <c r="K9" s="6">
        <f>'6. Scoring Engine'!AM9</f>
        <v>1</v>
      </c>
      <c r="L9" s="6">
        <f>'6. Scoring Engine'!AW9</f>
        <v>57.3</v>
      </c>
      <c r="M9" s="40" t="str">
        <f>'6. Scoring Engine'!AX9</f>
        <v>Tier 3</v>
      </c>
      <c r="N9" s="6" t="str">
        <f>'6. Scoring Engine'!AY9</f>
        <v>—</v>
      </c>
      <c r="O9" s="7" t="str">
        <f>'6. Scoring Engine'!AU9</f>
        <v>BLK-05</v>
      </c>
      <c r="P9" s="7" t="str">
        <f>'6. Scoring Engine'!AV9</f>
        <v>BLK-05: No IT support |</v>
      </c>
      <c r="Q9" s="6">
        <f>'6. Scoring Engine'!AA9</f>
        <v>60</v>
      </c>
      <c r="R9" s="6">
        <f>'6. Scoring Engine'!AB9</f>
        <v>3</v>
      </c>
      <c r="S9" s="6">
        <f>'6. Scoring Engine'!AD9</f>
        <v>9</v>
      </c>
    </row>
    <row r="10">
      <c r="A10" s="6">
        <f t="shared" si="1"/>
        <v>6</v>
      </c>
      <c r="B10" s="7" t="str">
        <f>'6. Scoring Engine'!A10</f>
        <v>Dolo's Town Health Center</v>
      </c>
      <c r="C10" s="7" t="str">
        <f>'6. Scoring Engine'!B10</f>
        <v>Margibi</v>
      </c>
      <c r="D10" s="7" t="str">
        <f t="shared" si="2"/>
        <v>Margibi</v>
      </c>
      <c r="E10" s="6" t="str">
        <f>'6. Scoring Engine'!C10</f>
        <v>Health Center</v>
      </c>
      <c r="F10" s="6">
        <f>'6. Scoring Engine'!AH10</f>
        <v>2</v>
      </c>
      <c r="G10" s="6">
        <f>'6. Scoring Engine'!AI10</f>
        <v>2</v>
      </c>
      <c r="H10" s="6">
        <f>'6. Scoring Engine'!AJ10</f>
        <v>2</v>
      </c>
      <c r="I10" s="6">
        <f>'6. Scoring Engine'!AK10</f>
        <v>2</v>
      </c>
      <c r="J10" s="6">
        <f>'6. Scoring Engine'!AL10</f>
        <v>2</v>
      </c>
      <c r="K10" s="6">
        <f>'6. Scoring Engine'!AM10</f>
        <v>2</v>
      </c>
      <c r="L10" s="6">
        <f>'6. Scoring Engine'!AW10</f>
        <v>66.7</v>
      </c>
      <c r="M10" s="40" t="str">
        <f>'6. Scoring Engine'!AX10</f>
        <v>Tier 3</v>
      </c>
      <c r="N10" s="6" t="str">
        <f>'6. Scoring Engine'!AY10</f>
        <v>—</v>
      </c>
      <c r="O10" s="7" t="str">
        <f>'6. Scoring Engine'!AU10</f>
        <v>BLK-05</v>
      </c>
      <c r="P10" s="7" t="str">
        <f>'6. Scoring Engine'!AV10</f>
        <v>BLK-05: No IT support |</v>
      </c>
      <c r="Q10" s="6">
        <f>'6. Scoring Engine'!AA10</f>
        <v>67</v>
      </c>
      <c r="R10" s="6">
        <f>'6. Scoring Engine'!AB10</f>
        <v>3</v>
      </c>
      <c r="S10" s="6">
        <f>'6. Scoring Engine'!AD10</f>
        <v>6</v>
      </c>
    </row>
    <row r="11">
      <c r="A11" s="6">
        <f t="shared" si="1"/>
        <v>6</v>
      </c>
      <c r="B11" s="7" t="str">
        <f>'6. Scoring Engine'!A11</f>
        <v>Dr. Agnes Varis Health Center</v>
      </c>
      <c r="C11" s="7" t="str">
        <f>'6. Scoring Engine'!B11</f>
        <v>Montserrado</v>
      </c>
      <c r="D11" s="7" t="str">
        <f t="shared" si="2"/>
        <v>Montserrado</v>
      </c>
      <c r="E11" s="6" t="str">
        <f>'6. Scoring Engine'!C11</f>
        <v>Health Center</v>
      </c>
      <c r="F11" s="6">
        <f>'6. Scoring Engine'!AH11</f>
        <v>2</v>
      </c>
      <c r="G11" s="6">
        <f>'6. Scoring Engine'!AI11</f>
        <v>2</v>
      </c>
      <c r="H11" s="6">
        <f>'6. Scoring Engine'!AJ11</f>
        <v>2</v>
      </c>
      <c r="I11" s="6">
        <f>'6. Scoring Engine'!AK11</f>
        <v>2</v>
      </c>
      <c r="J11" s="6">
        <f>'6. Scoring Engine'!AL11</f>
        <v>2</v>
      </c>
      <c r="K11" s="6">
        <f>'6. Scoring Engine'!AM11</f>
        <v>2</v>
      </c>
      <c r="L11" s="6">
        <f>'6. Scoring Engine'!AW11</f>
        <v>66.7</v>
      </c>
      <c r="M11" s="40" t="str">
        <f>'6. Scoring Engine'!AX11</f>
        <v>Tier 3</v>
      </c>
      <c r="N11" s="6" t="str">
        <f>'6. Scoring Engine'!AY11</f>
        <v>—</v>
      </c>
      <c r="O11" s="7" t="str">
        <f>'6. Scoring Engine'!AU11</f>
        <v>BLK-04 BLK-05</v>
      </c>
      <c r="P11" s="7" t="str">
        <f>'6. Scoring Engine'!AV11</f>
        <v>BLK-04: Not reporting to DHIS2 | BLK-05: No IT support |</v>
      </c>
      <c r="Q11" s="6">
        <f>'6. Scoring Engine'!AA11</f>
        <v>55</v>
      </c>
      <c r="R11" s="6">
        <f>'6. Scoring Engine'!AB11</f>
        <v>2</v>
      </c>
      <c r="S11" s="6">
        <f>'6. Scoring Engine'!AD11</f>
        <v>4</v>
      </c>
    </row>
    <row r="12">
      <c r="A12" s="6">
        <f t="shared" si="1"/>
        <v>6</v>
      </c>
      <c r="B12" s="7" t="str">
        <f>'6. Scoring Engine'!A12</f>
        <v>Duport Road Health Center</v>
      </c>
      <c r="C12" s="7" t="str">
        <f>'6. Scoring Engine'!B12</f>
        <v>Montserrado</v>
      </c>
      <c r="D12" s="7" t="str">
        <f t="shared" si="2"/>
        <v>Montserrado</v>
      </c>
      <c r="E12" s="6" t="str">
        <f>'6. Scoring Engine'!C12</f>
        <v>Health Center</v>
      </c>
      <c r="F12" s="6">
        <f>'6. Scoring Engine'!AH12</f>
        <v>2</v>
      </c>
      <c r="G12" s="6">
        <f>'6. Scoring Engine'!AI12</f>
        <v>2</v>
      </c>
      <c r="H12" s="6">
        <f>'6. Scoring Engine'!AJ12</f>
        <v>2</v>
      </c>
      <c r="I12" s="6">
        <f>'6. Scoring Engine'!AK12</f>
        <v>2</v>
      </c>
      <c r="J12" s="6">
        <f>'6. Scoring Engine'!AL12</f>
        <v>2</v>
      </c>
      <c r="K12" s="6">
        <f>'6. Scoring Engine'!AM12</f>
        <v>2</v>
      </c>
      <c r="L12" s="6">
        <f>'6. Scoring Engine'!AW12</f>
        <v>66.7</v>
      </c>
      <c r="M12" s="40" t="str">
        <f>'6. Scoring Engine'!AX12</f>
        <v>Tier 3</v>
      </c>
      <c r="N12" s="6" t="str">
        <f>'6. Scoring Engine'!AY12</f>
        <v>—</v>
      </c>
      <c r="O12" s="7" t="str">
        <f>'6. Scoring Engine'!AU12</f>
        <v>BLK-04</v>
      </c>
      <c r="P12" s="7" t="str">
        <f>'6. Scoring Engine'!AV12</f>
        <v>BLK-04: Not reporting to DHIS2 |</v>
      </c>
      <c r="Q12" s="6">
        <f>'6. Scoring Engine'!AA12</f>
        <v>63</v>
      </c>
      <c r="R12" s="6">
        <f>'6. Scoring Engine'!AB12</f>
        <v>3</v>
      </c>
      <c r="S12" s="6">
        <f>'6. Scoring Engine'!AD12</f>
        <v>4</v>
      </c>
    </row>
    <row r="13">
      <c r="A13" s="6">
        <f t="shared" si="1"/>
        <v>25</v>
      </c>
      <c r="B13" s="7" t="str">
        <f>'6. Scoring Engine'!A13</f>
        <v>Foya  Health Center</v>
      </c>
      <c r="C13" s="7" t="str">
        <f>'6. Scoring Engine'!B13</f>
        <v>Lofa</v>
      </c>
      <c r="D13" s="7" t="str">
        <f t="shared" si="2"/>
        <v>Lofa</v>
      </c>
      <c r="E13" s="6" t="str">
        <f>'6. Scoring Engine'!C13</f>
        <v>Health Center</v>
      </c>
      <c r="F13" s="6">
        <f>'6. Scoring Engine'!AH13</f>
        <v>2</v>
      </c>
      <c r="G13" s="6">
        <f>'6. Scoring Engine'!AI13</f>
        <v>0</v>
      </c>
      <c r="H13" s="6">
        <f>'6. Scoring Engine'!AJ13</f>
        <v>2</v>
      </c>
      <c r="I13" s="6">
        <f>'6. Scoring Engine'!AK13</f>
        <v>2</v>
      </c>
      <c r="J13" s="6">
        <f>'6. Scoring Engine'!AL13</f>
        <v>2</v>
      </c>
      <c r="K13" s="6">
        <f>'6. Scoring Engine'!AM13</f>
        <v>2</v>
      </c>
      <c r="L13" s="6">
        <f>'6. Scoring Engine'!AW13</f>
        <v>54.7</v>
      </c>
      <c r="M13" s="40" t="str">
        <f>'6. Scoring Engine'!AX13</f>
        <v>Tier 3</v>
      </c>
      <c r="N13" s="6" t="str">
        <f>'6. Scoring Engine'!AY13</f>
        <v>—</v>
      </c>
      <c r="O13" s="7" t="str">
        <f>'6. Scoring Engine'!AU13</f>
        <v>BLK-02</v>
      </c>
      <c r="P13" s="7" t="str">
        <f>'6. Scoring Engine'!AV13</f>
        <v>BLK-02: No connectivity / &lt;2 Mbps |</v>
      </c>
      <c r="Q13" s="6">
        <f>'6. Scoring Engine'!AA13</f>
        <v>64</v>
      </c>
      <c r="R13" s="6">
        <f>'6. Scoring Engine'!AB13</f>
        <v>5</v>
      </c>
      <c r="S13" s="6">
        <f>'6. Scoring Engine'!AD13</f>
        <v>5</v>
      </c>
    </row>
    <row r="14">
      <c r="A14" s="6">
        <f t="shared" si="1"/>
        <v>25</v>
      </c>
      <c r="B14" s="7" t="str">
        <f>'6. Scoring Engine'!A14</f>
        <v>GW Harley Hospital</v>
      </c>
      <c r="C14" s="7" t="str">
        <f>'6. Scoring Engine'!B14</f>
        <v>Nimba</v>
      </c>
      <c r="D14" s="7" t="str">
        <f t="shared" si="2"/>
        <v>Nimba</v>
      </c>
      <c r="E14" s="6" t="str">
        <f>'6. Scoring Engine'!C14</f>
        <v>Hospital</v>
      </c>
      <c r="F14" s="6">
        <f>'6. Scoring Engine'!AH14</f>
        <v>2</v>
      </c>
      <c r="G14" s="6">
        <f>'6. Scoring Engine'!AI14</f>
        <v>0</v>
      </c>
      <c r="H14" s="6">
        <f>'6. Scoring Engine'!AJ14</f>
        <v>2</v>
      </c>
      <c r="I14" s="6">
        <f>'6. Scoring Engine'!AK14</f>
        <v>2</v>
      </c>
      <c r="J14" s="6">
        <f>'6. Scoring Engine'!AL14</f>
        <v>2</v>
      </c>
      <c r="K14" s="6">
        <f>'6. Scoring Engine'!AM14</f>
        <v>2</v>
      </c>
      <c r="L14" s="6">
        <f>'6. Scoring Engine'!AW14</f>
        <v>54.7</v>
      </c>
      <c r="M14" s="40" t="str">
        <f>'6. Scoring Engine'!AX14</f>
        <v>Tier 3</v>
      </c>
      <c r="N14" s="6" t="str">
        <f>'6. Scoring Engine'!AY14</f>
        <v>—</v>
      </c>
      <c r="O14" s="7" t="str">
        <f>'6. Scoring Engine'!AU14</f>
        <v>BLK-02</v>
      </c>
      <c r="P14" s="7" t="str">
        <f>'6. Scoring Engine'!AV14</f>
        <v>BLK-02: No connectivity / &lt;2 Mbps |</v>
      </c>
      <c r="Q14" s="6">
        <f>'6. Scoring Engine'!AA14</f>
        <v>80</v>
      </c>
      <c r="R14" s="6">
        <f>'6. Scoring Engine'!AB14</f>
        <v>6</v>
      </c>
      <c r="S14" s="6">
        <f>'6. Scoring Engine'!AD14</f>
        <v>5</v>
      </c>
    </row>
    <row r="15">
      <c r="A15" s="6">
        <f t="shared" si="1"/>
        <v>19</v>
      </c>
      <c r="B15" s="7" t="str">
        <f>'6. Scoring Engine'!A15</f>
        <v>Garzon Health Center</v>
      </c>
      <c r="C15" s="7" t="str">
        <f>'6. Scoring Engine'!B15</f>
        <v>Margibi</v>
      </c>
      <c r="D15" s="7" t="str">
        <f t="shared" si="2"/>
        <v>Margibi</v>
      </c>
      <c r="E15" s="6" t="str">
        <f>'6. Scoring Engine'!C15</f>
        <v>Health Center</v>
      </c>
      <c r="F15" s="6">
        <f>'6. Scoring Engine'!AH15</f>
        <v>2</v>
      </c>
      <c r="G15" s="6">
        <f>'6. Scoring Engine'!AI15</f>
        <v>2</v>
      </c>
      <c r="H15" s="6">
        <f>'6. Scoring Engine'!AJ15</f>
        <v>0</v>
      </c>
      <c r="I15" s="6">
        <f>'6. Scoring Engine'!AK15</f>
        <v>2</v>
      </c>
      <c r="J15" s="6">
        <f>'6. Scoring Engine'!AL15</f>
        <v>2</v>
      </c>
      <c r="K15" s="6">
        <f>'6. Scoring Engine'!AM15</f>
        <v>2</v>
      </c>
      <c r="L15" s="6">
        <f>'6. Scoring Engine'!AW15</f>
        <v>58</v>
      </c>
      <c r="M15" s="40" t="str">
        <f>'6. Scoring Engine'!AX15</f>
        <v>Tier 3</v>
      </c>
      <c r="N15" s="6" t="str">
        <f>'6. Scoring Engine'!AY15</f>
        <v>—</v>
      </c>
      <c r="O15" s="7" t="str">
        <f>'6. Scoring Engine'!AU15</f>
        <v>BLK-03 BLK-05</v>
      </c>
      <c r="P15" s="7" t="str">
        <f>'6. Scoring Engine'!AV15</f>
        <v>BLK-03: Zero computers or tablets | BLK-05: No IT support |</v>
      </c>
      <c r="Q15" s="6">
        <f>'6. Scoring Engine'!AA15</f>
        <v>58</v>
      </c>
      <c r="R15" s="6">
        <f>'6. Scoring Engine'!AB15</f>
        <v>5</v>
      </c>
      <c r="S15" s="6">
        <f>'6. Scoring Engine'!AD15</f>
        <v>5</v>
      </c>
    </row>
    <row r="16">
      <c r="A16" s="6">
        <f t="shared" si="1"/>
        <v>19</v>
      </c>
      <c r="B16" s="7" t="str">
        <f>'6. Scoring Engine'!A16</f>
        <v>Gbarzon Health Center</v>
      </c>
      <c r="C16" s="7" t="str">
        <f>'6. Scoring Engine'!B16</f>
        <v>Grand Gedeh</v>
      </c>
      <c r="D16" s="7" t="str">
        <f t="shared" si="2"/>
        <v>Southeast</v>
      </c>
      <c r="E16" s="6" t="str">
        <f>'6. Scoring Engine'!C16</f>
        <v>Health Center</v>
      </c>
      <c r="F16" s="6">
        <f>'6. Scoring Engine'!AH16</f>
        <v>2</v>
      </c>
      <c r="G16" s="6">
        <f>'6. Scoring Engine'!AI16</f>
        <v>2</v>
      </c>
      <c r="H16" s="6">
        <f>'6. Scoring Engine'!AJ16</f>
        <v>0</v>
      </c>
      <c r="I16" s="6">
        <f>'6. Scoring Engine'!AK16</f>
        <v>2</v>
      </c>
      <c r="J16" s="6">
        <f>'6. Scoring Engine'!AL16</f>
        <v>2</v>
      </c>
      <c r="K16" s="6">
        <f>'6. Scoring Engine'!AM16</f>
        <v>2</v>
      </c>
      <c r="L16" s="6">
        <f>'6. Scoring Engine'!AW16</f>
        <v>58</v>
      </c>
      <c r="M16" s="40" t="str">
        <f>'6. Scoring Engine'!AX16</f>
        <v>Tier 3</v>
      </c>
      <c r="N16" s="6" t="str">
        <f>'6. Scoring Engine'!AY16</f>
        <v>—</v>
      </c>
      <c r="O16" s="7" t="str">
        <f>'6. Scoring Engine'!AU16</f>
        <v>BLK-03</v>
      </c>
      <c r="P16" s="7" t="str">
        <f>'6. Scoring Engine'!AV16</f>
        <v>BLK-03: Zero computers or tablets |</v>
      </c>
      <c r="Q16" s="6">
        <f>'6. Scoring Engine'!AA16</f>
        <v>60</v>
      </c>
      <c r="R16" s="6">
        <f>'6. Scoring Engine'!AB16</f>
        <v>2</v>
      </c>
      <c r="S16" s="6">
        <f>'6. Scoring Engine'!AD16</f>
        <v>5</v>
      </c>
    </row>
    <row r="17">
      <c r="A17" s="6">
        <f t="shared" si="1"/>
        <v>24</v>
      </c>
      <c r="B17" s="7" t="str">
        <f>'6. Scoring Engine'!A17</f>
        <v>Gbeapo Health Center</v>
      </c>
      <c r="C17" s="7" t="str">
        <f>'6. Scoring Engine'!B17</f>
        <v>River Gee</v>
      </c>
      <c r="D17" s="7" t="str">
        <f t="shared" si="2"/>
        <v>Southeast</v>
      </c>
      <c r="E17" s="6" t="str">
        <f>'6. Scoring Engine'!C17</f>
        <v>Health Center</v>
      </c>
      <c r="F17" s="6">
        <f>'6. Scoring Engine'!AH17</f>
        <v>1</v>
      </c>
      <c r="G17" s="6">
        <f>'6. Scoring Engine'!AI17</f>
        <v>2</v>
      </c>
      <c r="H17" s="6">
        <f>'6. Scoring Engine'!AJ17</f>
        <v>2</v>
      </c>
      <c r="I17" s="6">
        <f>'6. Scoring Engine'!AK17</f>
        <v>2</v>
      </c>
      <c r="J17" s="6">
        <f>'6. Scoring Engine'!AL17</f>
        <v>2</v>
      </c>
      <c r="K17" s="6">
        <f>'6. Scoring Engine'!AM17</f>
        <v>1</v>
      </c>
      <c r="L17" s="6">
        <f>'6. Scoring Engine'!AW17</f>
        <v>56</v>
      </c>
      <c r="M17" s="40" t="str">
        <f>'6. Scoring Engine'!AX17</f>
        <v>Tier 3</v>
      </c>
      <c r="N17" s="6" t="str">
        <f>'6. Scoring Engine'!AY17</f>
        <v>—</v>
      </c>
      <c r="O17" s="7" t="str">
        <f>'6. Scoring Engine'!AU17</f>
        <v>BLK-04 BLK-05</v>
      </c>
      <c r="P17" s="7" t="str">
        <f>'6. Scoring Engine'!AV17</f>
        <v>BLK-04: Not reporting to DHIS2 | BLK-05: No IT support |</v>
      </c>
      <c r="Q17" s="6">
        <f>'6. Scoring Engine'!AA17</f>
        <v>66</v>
      </c>
      <c r="R17" s="6">
        <f>'6. Scoring Engine'!AB17</f>
        <v>5</v>
      </c>
      <c r="S17" s="6">
        <f>'6. Scoring Engine'!AD17</f>
        <v>5</v>
      </c>
    </row>
    <row r="18">
      <c r="A18" s="6">
        <f t="shared" si="1"/>
        <v>3</v>
      </c>
      <c r="B18" s="7" t="str">
        <f>'6. Scoring Engine'!A18</f>
        <v>J N Davies Hospital</v>
      </c>
      <c r="C18" s="7" t="str">
        <f>'6. Scoring Engine'!B18</f>
        <v>Montserrado</v>
      </c>
      <c r="D18" s="7" t="str">
        <f t="shared" si="2"/>
        <v>Montserrado</v>
      </c>
      <c r="E18" s="6" t="str">
        <f>'6. Scoring Engine'!C18</f>
        <v>Hospital</v>
      </c>
      <c r="F18" s="6">
        <f>'6. Scoring Engine'!AH18</f>
        <v>2</v>
      </c>
      <c r="G18" s="6">
        <f>'6. Scoring Engine'!AI18</f>
        <v>2</v>
      </c>
      <c r="H18" s="6">
        <f>'6. Scoring Engine'!AJ18</f>
        <v>3</v>
      </c>
      <c r="I18" s="6">
        <f>'6. Scoring Engine'!AK18</f>
        <v>2</v>
      </c>
      <c r="J18" s="6">
        <f>'6. Scoring Engine'!AL18</f>
        <v>2</v>
      </c>
      <c r="K18" s="6">
        <f>'6. Scoring Engine'!AM18</f>
        <v>2</v>
      </c>
      <c r="L18" s="6">
        <f>'6. Scoring Engine'!AW18</f>
        <v>71</v>
      </c>
      <c r="M18" s="40" t="str">
        <f>'6. Scoring Engine'!AX18</f>
        <v>Tier 2</v>
      </c>
      <c r="N18" s="6" t="str">
        <f>'6. Scoring Engine'!AY18</f>
        <v>Wave 2</v>
      </c>
      <c r="O18" s="7" t="str">
        <f>'6. Scoring Engine'!AU18</f>
        <v/>
      </c>
      <c r="P18" s="7" t="str">
        <f>'6. Scoring Engine'!AV18</f>
        <v/>
      </c>
      <c r="Q18" s="6">
        <f>'6. Scoring Engine'!AA18</f>
        <v>73</v>
      </c>
      <c r="R18" s="6">
        <f>'6. Scoring Engine'!AB18</f>
        <v>3</v>
      </c>
      <c r="S18" s="6">
        <f>'6. Scoring Engine'!AD18</f>
        <v>5</v>
      </c>
    </row>
    <row r="19">
      <c r="A19" s="6">
        <f t="shared" si="1"/>
        <v>25</v>
      </c>
      <c r="B19" s="7" t="str">
        <f>'6. Scoring Engine'!A19</f>
        <v>JJ Dossen Hospital</v>
      </c>
      <c r="C19" s="7" t="str">
        <f>'6. Scoring Engine'!B19</f>
        <v>Maryland</v>
      </c>
      <c r="D19" s="7" t="str">
        <f t="shared" si="2"/>
        <v>Southeast</v>
      </c>
      <c r="E19" s="6" t="str">
        <f>'6. Scoring Engine'!C19</f>
        <v>Hospital</v>
      </c>
      <c r="F19" s="6">
        <f>'6. Scoring Engine'!AH19</f>
        <v>2</v>
      </c>
      <c r="G19" s="6">
        <f>'6. Scoring Engine'!AI19</f>
        <v>0</v>
      </c>
      <c r="H19" s="6">
        <f>'6. Scoring Engine'!AJ19</f>
        <v>2</v>
      </c>
      <c r="I19" s="6">
        <f>'6. Scoring Engine'!AK19</f>
        <v>2</v>
      </c>
      <c r="J19" s="6">
        <f>'6. Scoring Engine'!AL19</f>
        <v>2</v>
      </c>
      <c r="K19" s="6">
        <f>'6. Scoring Engine'!AM19</f>
        <v>2</v>
      </c>
      <c r="L19" s="6">
        <f>'6. Scoring Engine'!AW19</f>
        <v>54.7</v>
      </c>
      <c r="M19" s="40" t="str">
        <f>'6. Scoring Engine'!AX19</f>
        <v>Tier 3</v>
      </c>
      <c r="N19" s="6" t="str">
        <f>'6. Scoring Engine'!AY19</f>
        <v>—</v>
      </c>
      <c r="O19" s="7" t="str">
        <f>'6. Scoring Engine'!AU19</f>
        <v>BLK-02 BLK-05</v>
      </c>
      <c r="P19" s="7" t="str">
        <f>'6. Scoring Engine'!AV19</f>
        <v>BLK-02: No connectivity / &lt;2 Mbps | BLK-05: No IT support |</v>
      </c>
      <c r="Q19" s="6">
        <f>'6. Scoring Engine'!AA19</f>
        <v>56</v>
      </c>
      <c r="R19" s="6">
        <f>'6. Scoring Engine'!AB19</f>
        <v>5</v>
      </c>
      <c r="S19" s="6">
        <f>'6. Scoring Engine'!AD19</f>
        <v>5</v>
      </c>
    </row>
    <row r="20">
      <c r="A20" s="6">
        <f t="shared" si="1"/>
        <v>3</v>
      </c>
      <c r="B20" s="7" t="str">
        <f>'6. Scoring Engine'!A20</f>
        <v>Kakata Health Center</v>
      </c>
      <c r="C20" s="7" t="str">
        <f>'6. Scoring Engine'!B20</f>
        <v>Margibi</v>
      </c>
      <c r="D20" s="7" t="str">
        <f t="shared" si="2"/>
        <v>Margibi</v>
      </c>
      <c r="E20" s="6" t="str">
        <f>'6. Scoring Engine'!C20</f>
        <v>Health Center</v>
      </c>
      <c r="F20" s="6">
        <f>'6. Scoring Engine'!AH20</f>
        <v>2</v>
      </c>
      <c r="G20" s="6">
        <f>'6. Scoring Engine'!AI20</f>
        <v>2</v>
      </c>
      <c r="H20" s="6">
        <f>'6. Scoring Engine'!AJ20</f>
        <v>3</v>
      </c>
      <c r="I20" s="6">
        <f>'6. Scoring Engine'!AK20</f>
        <v>2</v>
      </c>
      <c r="J20" s="6">
        <f>'6. Scoring Engine'!AL20</f>
        <v>2</v>
      </c>
      <c r="K20" s="6">
        <f>'6. Scoring Engine'!AM20</f>
        <v>2</v>
      </c>
      <c r="L20" s="6">
        <f>'6. Scoring Engine'!AW20</f>
        <v>71</v>
      </c>
      <c r="M20" s="40" t="str">
        <f>'6. Scoring Engine'!AX20</f>
        <v>Tier 2</v>
      </c>
      <c r="N20" s="6" t="str">
        <f>'6. Scoring Engine'!AY20</f>
        <v>Wave 2</v>
      </c>
      <c r="O20" s="7" t="str">
        <f>'6. Scoring Engine'!AU20</f>
        <v/>
      </c>
      <c r="P20" s="7" t="str">
        <f>'6. Scoring Engine'!AV20</f>
        <v/>
      </c>
      <c r="Q20" s="6">
        <f>'6. Scoring Engine'!AA20</f>
        <v>79</v>
      </c>
      <c r="R20" s="6">
        <f>'6. Scoring Engine'!AB20</f>
        <v>7</v>
      </c>
      <c r="S20" s="6">
        <f>'6. Scoring Engine'!AD20</f>
        <v>4</v>
      </c>
    </row>
    <row r="21" ht="15.75" customHeight="1">
      <c r="A21" s="6">
        <f t="shared" si="1"/>
        <v>25</v>
      </c>
      <c r="B21" s="7" t="str">
        <f>'6. Scoring Engine'!A21</f>
        <v>Karnplay Health Center</v>
      </c>
      <c r="C21" s="7" t="str">
        <f>'6. Scoring Engine'!B21</f>
        <v>Nimba</v>
      </c>
      <c r="D21" s="7" t="str">
        <f t="shared" si="2"/>
        <v>Nimba</v>
      </c>
      <c r="E21" s="6" t="str">
        <f>'6. Scoring Engine'!C21</f>
        <v>Health Center</v>
      </c>
      <c r="F21" s="6">
        <f>'6. Scoring Engine'!AH21</f>
        <v>2</v>
      </c>
      <c r="G21" s="6">
        <f>'6. Scoring Engine'!AI21</f>
        <v>0</v>
      </c>
      <c r="H21" s="6">
        <f>'6. Scoring Engine'!AJ21</f>
        <v>2</v>
      </c>
      <c r="I21" s="6">
        <f>'6. Scoring Engine'!AK21</f>
        <v>2</v>
      </c>
      <c r="J21" s="6">
        <f>'6. Scoring Engine'!AL21</f>
        <v>2</v>
      </c>
      <c r="K21" s="6">
        <f>'6. Scoring Engine'!AM21</f>
        <v>2</v>
      </c>
      <c r="L21" s="6">
        <f>'6. Scoring Engine'!AW21</f>
        <v>54.7</v>
      </c>
      <c r="M21" s="40" t="str">
        <f>'6. Scoring Engine'!AX21</f>
        <v>Tier 3</v>
      </c>
      <c r="N21" s="6" t="str">
        <f>'6. Scoring Engine'!AY21</f>
        <v>—</v>
      </c>
      <c r="O21" s="7" t="str">
        <f>'6. Scoring Engine'!AU21</f>
        <v>BLK-02</v>
      </c>
      <c r="P21" s="7" t="str">
        <f>'6. Scoring Engine'!AV21</f>
        <v>BLK-02: No connectivity / &lt;2 Mbps |</v>
      </c>
      <c r="Q21" s="6">
        <f>'6. Scoring Engine'!AA21</f>
        <v>82</v>
      </c>
      <c r="R21" s="6">
        <f>'6. Scoring Engine'!AB21</f>
        <v>5</v>
      </c>
      <c r="S21" s="6">
        <f>'6. Scoring Engine'!AD21</f>
        <v>5</v>
      </c>
    </row>
    <row r="22" ht="15.75" customHeight="1">
      <c r="A22" s="6">
        <f t="shared" si="1"/>
        <v>25</v>
      </c>
      <c r="B22" s="7" t="str">
        <f>'6. Scoring Engine'!A22</f>
        <v>Konia Health Center</v>
      </c>
      <c r="C22" s="7" t="str">
        <f>'6. Scoring Engine'!B22</f>
        <v>Lofa</v>
      </c>
      <c r="D22" s="7" t="str">
        <f t="shared" si="2"/>
        <v>Lofa</v>
      </c>
      <c r="E22" s="6" t="str">
        <f>'6. Scoring Engine'!C22</f>
        <v>Health Center</v>
      </c>
      <c r="F22" s="6">
        <f>'6. Scoring Engine'!AH22</f>
        <v>2</v>
      </c>
      <c r="G22" s="6">
        <f>'6. Scoring Engine'!AI22</f>
        <v>0</v>
      </c>
      <c r="H22" s="6">
        <f>'6. Scoring Engine'!AJ22</f>
        <v>2</v>
      </c>
      <c r="I22" s="6">
        <f>'6. Scoring Engine'!AK22</f>
        <v>2</v>
      </c>
      <c r="J22" s="6">
        <f>'6. Scoring Engine'!AL22</f>
        <v>2</v>
      </c>
      <c r="K22" s="6">
        <f>'6. Scoring Engine'!AM22</f>
        <v>2</v>
      </c>
      <c r="L22" s="6">
        <f>'6. Scoring Engine'!AW22</f>
        <v>54.7</v>
      </c>
      <c r="M22" s="40" t="str">
        <f>'6. Scoring Engine'!AX22</f>
        <v>Tier 3</v>
      </c>
      <c r="N22" s="6" t="str">
        <f>'6. Scoring Engine'!AY22</f>
        <v>—</v>
      </c>
      <c r="O22" s="7" t="str">
        <f>'6. Scoring Engine'!AU22</f>
        <v>BLK-02</v>
      </c>
      <c r="P22" s="7" t="str">
        <f>'6. Scoring Engine'!AV22</f>
        <v>BLK-02: No connectivity / &lt;2 Mbps |</v>
      </c>
      <c r="Q22" s="6">
        <f>'6. Scoring Engine'!AA22</f>
        <v>73</v>
      </c>
      <c r="R22" s="6">
        <f>'6. Scoring Engine'!AB22</f>
        <v>6</v>
      </c>
      <c r="S22" s="6">
        <f>'6. Scoring Engine'!AD22</f>
        <v>7</v>
      </c>
    </row>
    <row r="23" ht="15.75" customHeight="1">
      <c r="A23" s="6">
        <f t="shared" si="1"/>
        <v>34</v>
      </c>
      <c r="B23" s="7" t="str">
        <f>'6. Scoring Engine'!A23</f>
        <v>Konobo Health Center</v>
      </c>
      <c r="C23" s="7" t="str">
        <f>'6. Scoring Engine'!B23</f>
        <v>Grand Gedeh</v>
      </c>
      <c r="D23" s="7" t="str">
        <f t="shared" si="2"/>
        <v>Southeast</v>
      </c>
      <c r="E23" s="6" t="str">
        <f>'6. Scoring Engine'!C23</f>
        <v>Health Center</v>
      </c>
      <c r="F23" s="6">
        <f>'6. Scoring Engine'!AH23</f>
        <v>2</v>
      </c>
      <c r="G23" s="6">
        <f>'6. Scoring Engine'!AI23</f>
        <v>1</v>
      </c>
      <c r="H23" s="6">
        <f>'6. Scoring Engine'!AJ23</f>
        <v>0</v>
      </c>
      <c r="I23" s="6">
        <f>'6. Scoring Engine'!AK23</f>
        <v>2</v>
      </c>
      <c r="J23" s="6">
        <f>'6. Scoring Engine'!AL23</f>
        <v>2</v>
      </c>
      <c r="K23" s="6">
        <f>'6. Scoring Engine'!AM23</f>
        <v>1</v>
      </c>
      <c r="L23" s="6">
        <f>'6. Scoring Engine'!AW23</f>
        <v>48.7</v>
      </c>
      <c r="M23" s="40" t="str">
        <f>'6. Scoring Engine'!AX23</f>
        <v>Tier 3</v>
      </c>
      <c r="N23" s="6" t="str">
        <f>'6. Scoring Engine'!AY23</f>
        <v>—</v>
      </c>
      <c r="O23" s="7" t="str">
        <f>'6. Scoring Engine'!AU23</f>
        <v>BLK-03 BLK-04 BLK-05</v>
      </c>
      <c r="P23" s="7" t="str">
        <f>'6. Scoring Engine'!AV23</f>
        <v>BLK-03: Zero computers or tablets | BLK-04: Not reporting to DHIS2 | BLK-05: No IT support |</v>
      </c>
      <c r="Q23" s="6">
        <f>'6. Scoring Engine'!AA23</f>
        <v>66</v>
      </c>
      <c r="R23" s="6">
        <f>'6. Scoring Engine'!AB23</f>
        <v>5</v>
      </c>
      <c r="S23" s="6">
        <f>'6. Scoring Engine'!AD23</f>
        <v>5</v>
      </c>
    </row>
    <row r="24" ht="15.75" customHeight="1">
      <c r="A24" s="6">
        <f t="shared" si="1"/>
        <v>33</v>
      </c>
      <c r="B24" s="7" t="str">
        <f>'6. Scoring Engine'!A24</f>
        <v>Lofa Bridge Health Center</v>
      </c>
      <c r="C24" s="7" t="str">
        <f>'6. Scoring Engine'!B24</f>
        <v>Grand Cape Mount</v>
      </c>
      <c r="D24" s="7" t="str">
        <f t="shared" si="2"/>
        <v>Grand Cape Mount</v>
      </c>
      <c r="E24" s="6" t="str">
        <f>'6. Scoring Engine'!C24</f>
        <v>Health Center</v>
      </c>
      <c r="F24" s="6">
        <f>'6. Scoring Engine'!AH24</f>
        <v>1</v>
      </c>
      <c r="G24" s="6">
        <f>'6. Scoring Engine'!AI24</f>
        <v>2</v>
      </c>
      <c r="H24" s="6">
        <f>'6. Scoring Engine'!AJ24</f>
        <v>0</v>
      </c>
      <c r="I24" s="6">
        <f>'6. Scoring Engine'!AK24</f>
        <v>2</v>
      </c>
      <c r="J24" s="6">
        <f>'6. Scoring Engine'!AL24</f>
        <v>2</v>
      </c>
      <c r="K24" s="6">
        <f>'6. Scoring Engine'!AM24</f>
        <v>2</v>
      </c>
      <c r="L24" s="6">
        <f>'6. Scoring Engine'!AW24</f>
        <v>50.7</v>
      </c>
      <c r="M24" s="40" t="str">
        <f>'6. Scoring Engine'!AX24</f>
        <v>Tier 3</v>
      </c>
      <c r="N24" s="6" t="str">
        <f>'6. Scoring Engine'!AY24</f>
        <v>—</v>
      </c>
      <c r="O24" s="7" t="str">
        <f>'6. Scoring Engine'!AU24</f>
        <v>BLK-03</v>
      </c>
      <c r="P24" s="7" t="str">
        <f>'6. Scoring Engine'!AV24</f>
        <v>BLK-03: Zero computers or tablets |</v>
      </c>
      <c r="Q24" s="6">
        <f>'6. Scoring Engine'!AA24</f>
        <v>76</v>
      </c>
      <c r="R24" s="6">
        <f>'6. Scoring Engine'!AB24</f>
        <v>5</v>
      </c>
      <c r="S24" s="6">
        <f>'6. Scoring Engine'!AD24</f>
        <v>5</v>
      </c>
    </row>
    <row r="25" ht="15.75" customHeight="1">
      <c r="A25" s="6">
        <f t="shared" si="1"/>
        <v>19</v>
      </c>
      <c r="B25" s="7" t="str">
        <f>'6. Scoring Engine'!A25</f>
        <v>Marshall Health Center</v>
      </c>
      <c r="C25" s="7" t="str">
        <f>'6. Scoring Engine'!B25</f>
        <v>Margibi</v>
      </c>
      <c r="D25" s="7" t="str">
        <f t="shared" si="2"/>
        <v>Margibi</v>
      </c>
      <c r="E25" s="6" t="str">
        <f>'6. Scoring Engine'!C25</f>
        <v>Health Center</v>
      </c>
      <c r="F25" s="6">
        <f>'6. Scoring Engine'!AH25</f>
        <v>2</v>
      </c>
      <c r="G25" s="6">
        <f>'6. Scoring Engine'!AI25</f>
        <v>2</v>
      </c>
      <c r="H25" s="6">
        <f>'6. Scoring Engine'!AJ25</f>
        <v>0</v>
      </c>
      <c r="I25" s="6">
        <f>'6. Scoring Engine'!AK25</f>
        <v>2</v>
      </c>
      <c r="J25" s="6">
        <f>'6. Scoring Engine'!AL25</f>
        <v>2</v>
      </c>
      <c r="K25" s="6">
        <f>'6. Scoring Engine'!AM25</f>
        <v>2</v>
      </c>
      <c r="L25" s="6">
        <f>'6. Scoring Engine'!AW25</f>
        <v>58</v>
      </c>
      <c r="M25" s="40" t="str">
        <f>'6. Scoring Engine'!AX25</f>
        <v>Tier 3</v>
      </c>
      <c r="N25" s="6" t="str">
        <f>'6. Scoring Engine'!AY25</f>
        <v>—</v>
      </c>
      <c r="O25" s="7" t="str">
        <f>'6. Scoring Engine'!AU25</f>
        <v>BLK-03 BLK-05</v>
      </c>
      <c r="P25" s="7" t="str">
        <f>'6. Scoring Engine'!AV25</f>
        <v>BLK-03: Zero computers or tablets | BLK-05: No IT support |</v>
      </c>
      <c r="Q25" s="6">
        <f>'6. Scoring Engine'!AA25</f>
        <v>73</v>
      </c>
      <c r="R25" s="6">
        <f>'6. Scoring Engine'!AB25</f>
        <v>3</v>
      </c>
      <c r="S25" s="6">
        <f>'6. Scoring Engine'!AD25</f>
        <v>5</v>
      </c>
    </row>
    <row r="26" ht="15.75" customHeight="1">
      <c r="A26" s="6">
        <f t="shared" si="1"/>
        <v>10</v>
      </c>
      <c r="B26" s="7" t="str">
        <f>'6. Scoring Engine'!A26</f>
        <v>Massaquoi Town Health Center</v>
      </c>
      <c r="C26" s="7" t="str">
        <f>'6. Scoring Engine'!B26</f>
        <v>Margibi</v>
      </c>
      <c r="D26" s="7" t="str">
        <f t="shared" si="2"/>
        <v>Margibi</v>
      </c>
      <c r="E26" s="6" t="str">
        <f>'6. Scoring Engine'!C26</f>
        <v>Health Center</v>
      </c>
      <c r="F26" s="6">
        <f>'6. Scoring Engine'!AH26</f>
        <v>2</v>
      </c>
      <c r="G26" s="6">
        <f>'6. Scoring Engine'!AI26</f>
        <v>2</v>
      </c>
      <c r="H26" s="6">
        <f>'6. Scoring Engine'!AJ26</f>
        <v>1</v>
      </c>
      <c r="I26" s="6">
        <f>'6. Scoring Engine'!AK26</f>
        <v>2</v>
      </c>
      <c r="J26" s="6">
        <f>'6. Scoring Engine'!AL26</f>
        <v>2</v>
      </c>
      <c r="K26" s="6">
        <f>'6. Scoring Engine'!AM26</f>
        <v>2</v>
      </c>
      <c r="L26" s="6">
        <f>'6. Scoring Engine'!AW26</f>
        <v>62.3</v>
      </c>
      <c r="M26" s="40" t="str">
        <f>'6. Scoring Engine'!AX26</f>
        <v>Tier 2</v>
      </c>
      <c r="N26" s="6" t="str">
        <f>'6. Scoring Engine'!AY26</f>
        <v>Wave 2</v>
      </c>
      <c r="O26" s="7" t="str">
        <f>'6. Scoring Engine'!AU26</f>
        <v/>
      </c>
      <c r="P26" s="7" t="str">
        <f>'6. Scoring Engine'!AV26</f>
        <v/>
      </c>
      <c r="Q26" s="6">
        <f>'6. Scoring Engine'!AA26</f>
        <v>65</v>
      </c>
      <c r="R26" s="6">
        <f>'6. Scoring Engine'!AB26</f>
        <v>4</v>
      </c>
      <c r="S26" s="6">
        <f>'6. Scoring Engine'!AD26</f>
        <v>5</v>
      </c>
    </row>
    <row r="27" ht="15.75" customHeight="1">
      <c r="A27" s="6">
        <f t="shared" si="1"/>
        <v>32</v>
      </c>
      <c r="B27" s="7" t="str">
        <f>'6. Scoring Engine'!A27</f>
        <v>New Georgia Community Health Center</v>
      </c>
      <c r="C27" s="7" t="str">
        <f>'6. Scoring Engine'!B27</f>
        <v>Montserrado</v>
      </c>
      <c r="D27" s="7" t="str">
        <f t="shared" si="2"/>
        <v>Montserrado</v>
      </c>
      <c r="E27" s="6" t="str">
        <f>'6. Scoring Engine'!C27</f>
        <v>Health Center</v>
      </c>
      <c r="F27" s="6">
        <f>'6. Scoring Engine'!AH27</f>
        <v>2</v>
      </c>
      <c r="G27" s="6">
        <f>'6. Scoring Engine'!AI27</f>
        <v>1</v>
      </c>
      <c r="H27" s="6">
        <f>'6. Scoring Engine'!AJ27</f>
        <v>0</v>
      </c>
      <c r="I27" s="6">
        <f>'6. Scoring Engine'!AK27</f>
        <v>2</v>
      </c>
      <c r="J27" s="6">
        <f>'6. Scoring Engine'!AL27</f>
        <v>2</v>
      </c>
      <c r="K27" s="6">
        <f>'6. Scoring Engine'!AM27</f>
        <v>2</v>
      </c>
      <c r="L27" s="6">
        <f>'6. Scoring Engine'!AW27</f>
        <v>52</v>
      </c>
      <c r="M27" s="40" t="str">
        <f>'6. Scoring Engine'!AX27</f>
        <v>Tier 3</v>
      </c>
      <c r="N27" s="6" t="str">
        <f>'6. Scoring Engine'!AY27</f>
        <v>—</v>
      </c>
      <c r="O27" s="7" t="str">
        <f>'6. Scoring Engine'!AU27</f>
        <v>BLK-03</v>
      </c>
      <c r="P27" s="7" t="str">
        <f>'6. Scoring Engine'!AV27</f>
        <v>BLK-03: Zero computers or tablets |</v>
      </c>
      <c r="Q27" s="6">
        <f>'6. Scoring Engine'!AA27</f>
        <v>66</v>
      </c>
      <c r="R27" s="6">
        <f>'6. Scoring Engine'!AB27</f>
        <v>5</v>
      </c>
      <c r="S27" s="6">
        <f>'6. Scoring Engine'!AD27</f>
        <v>5</v>
      </c>
    </row>
    <row r="28" ht="15.75" customHeight="1">
      <c r="A28" s="6">
        <f t="shared" si="1"/>
        <v>18</v>
      </c>
      <c r="B28" s="7" t="str">
        <f>'6. Scoring Engine'!A28</f>
        <v>Nyehn Health Center</v>
      </c>
      <c r="C28" s="7" t="str">
        <f>'6. Scoring Engine'!B28</f>
        <v>Montserrado</v>
      </c>
      <c r="D28" s="7" t="str">
        <f t="shared" si="2"/>
        <v>Montserrado</v>
      </c>
      <c r="E28" s="6" t="str">
        <f>'6. Scoring Engine'!C28</f>
        <v>Health Center</v>
      </c>
      <c r="F28" s="6">
        <f>'6. Scoring Engine'!AH28</f>
        <v>1</v>
      </c>
      <c r="G28" s="6">
        <f>'6. Scoring Engine'!AI28</f>
        <v>2</v>
      </c>
      <c r="H28" s="6">
        <f>'6. Scoring Engine'!AJ28</f>
        <v>2</v>
      </c>
      <c r="I28" s="6">
        <f>'6. Scoring Engine'!AK28</f>
        <v>2</v>
      </c>
      <c r="J28" s="6">
        <f>'6. Scoring Engine'!AL28</f>
        <v>2</v>
      </c>
      <c r="K28" s="6">
        <f>'6. Scoring Engine'!AM28</f>
        <v>2</v>
      </c>
      <c r="L28" s="6">
        <f>'6. Scoring Engine'!AW28</f>
        <v>59.3</v>
      </c>
      <c r="M28" s="40" t="str">
        <f>'6. Scoring Engine'!AX28</f>
        <v>Tier 2</v>
      </c>
      <c r="N28" s="6" t="str">
        <f>'6. Scoring Engine'!AY28</f>
        <v>Wave 2</v>
      </c>
      <c r="O28" s="7" t="str">
        <f>'6. Scoring Engine'!AU28</f>
        <v/>
      </c>
      <c r="P28" s="7" t="str">
        <f>'6. Scoring Engine'!AV28</f>
        <v/>
      </c>
      <c r="Q28" s="6">
        <f>'6. Scoring Engine'!AA28</f>
        <v>78</v>
      </c>
      <c r="R28" s="6">
        <f>'6. Scoring Engine'!AB28</f>
        <v>5</v>
      </c>
      <c r="S28" s="6">
        <f>'6. Scoring Engine'!AD28</f>
        <v>5</v>
      </c>
    </row>
    <row r="29" ht="15.75" customHeight="1">
      <c r="A29" s="6">
        <f t="shared" si="1"/>
        <v>2</v>
      </c>
      <c r="B29" s="7" t="str">
        <f>'6. Scoring Engine'!A29</f>
        <v>Pipeline Health Center</v>
      </c>
      <c r="C29" s="7" t="str">
        <f>'6. Scoring Engine'!B29</f>
        <v>Montserrado</v>
      </c>
      <c r="D29" s="7" t="str">
        <f t="shared" si="2"/>
        <v>Montserrado</v>
      </c>
      <c r="E29" s="6" t="str">
        <f>'6. Scoring Engine'!C29</f>
        <v>Health Center</v>
      </c>
      <c r="F29" s="6">
        <f>'6. Scoring Engine'!AH29</f>
        <v>2</v>
      </c>
      <c r="G29" s="6">
        <f>'6. Scoring Engine'!AI29</f>
        <v>2</v>
      </c>
      <c r="H29" s="6">
        <f>'6. Scoring Engine'!AJ29</f>
        <v>2</v>
      </c>
      <c r="I29" s="6">
        <f>'6. Scoring Engine'!AK29</f>
        <v>3</v>
      </c>
      <c r="J29" s="6">
        <f>'6. Scoring Engine'!AL29</f>
        <v>2</v>
      </c>
      <c r="K29" s="6">
        <f>'6. Scoring Engine'!AM29</f>
        <v>2</v>
      </c>
      <c r="L29" s="6">
        <f>'6. Scoring Engine'!AW29</f>
        <v>74</v>
      </c>
      <c r="M29" s="40" t="str">
        <f>'6. Scoring Engine'!AX29</f>
        <v>Tier 2</v>
      </c>
      <c r="N29" s="6" t="str">
        <f>'6. Scoring Engine'!AY29</f>
        <v>Wave 2</v>
      </c>
      <c r="O29" s="7" t="str">
        <f>'6. Scoring Engine'!AU29</f>
        <v/>
      </c>
      <c r="P29" s="7" t="str">
        <f>'6. Scoring Engine'!AV29</f>
        <v/>
      </c>
      <c r="Q29" s="6">
        <f>'6. Scoring Engine'!AA29</f>
        <v>73</v>
      </c>
      <c r="R29" s="6">
        <f>'6. Scoring Engine'!AB29</f>
        <v>3</v>
      </c>
      <c r="S29" s="6">
        <f>'6. Scoring Engine'!AD29</f>
        <v>5</v>
      </c>
    </row>
    <row r="30" ht="15.75" customHeight="1">
      <c r="A30" s="6">
        <f t="shared" si="1"/>
        <v>5</v>
      </c>
      <c r="B30" s="7" t="str">
        <f>'6. Scoring Engine'!A30</f>
        <v>Pleebo Health Center</v>
      </c>
      <c r="C30" s="7" t="str">
        <f>'6. Scoring Engine'!B30</f>
        <v>Maryland</v>
      </c>
      <c r="D30" s="7" t="str">
        <f t="shared" si="2"/>
        <v>Southeast</v>
      </c>
      <c r="E30" s="6" t="str">
        <f>'6. Scoring Engine'!C30</f>
        <v>Health Center</v>
      </c>
      <c r="F30" s="6">
        <f>'6. Scoring Engine'!AH30</f>
        <v>2</v>
      </c>
      <c r="G30" s="6">
        <f>'6. Scoring Engine'!AI30</f>
        <v>2</v>
      </c>
      <c r="H30" s="6">
        <f>'6. Scoring Engine'!AJ30</f>
        <v>2</v>
      </c>
      <c r="I30" s="6">
        <f>'6. Scoring Engine'!AK30</f>
        <v>2</v>
      </c>
      <c r="J30" s="6">
        <f>'6. Scoring Engine'!AL30</f>
        <v>2</v>
      </c>
      <c r="K30" s="6">
        <f>'6. Scoring Engine'!AM30</f>
        <v>3</v>
      </c>
      <c r="L30" s="6">
        <f>'6. Scoring Engine'!AW30</f>
        <v>70</v>
      </c>
      <c r="M30" s="40" t="str">
        <f>'6. Scoring Engine'!AX30</f>
        <v>Tier 3</v>
      </c>
      <c r="N30" s="6" t="str">
        <f>'6. Scoring Engine'!AY30</f>
        <v>—</v>
      </c>
      <c r="O30" s="7" t="str">
        <f>'6. Scoring Engine'!AU30</f>
        <v>BLK-05</v>
      </c>
      <c r="P30" s="7" t="str">
        <f>'6. Scoring Engine'!AV30</f>
        <v>BLK-05: No IT support |</v>
      </c>
      <c r="Q30" s="6">
        <f>'6. Scoring Engine'!AA30</f>
        <v>62</v>
      </c>
      <c r="R30" s="6">
        <f>'6. Scoring Engine'!AB30</f>
        <v>5</v>
      </c>
      <c r="S30" s="6">
        <f>'6. Scoring Engine'!AD30</f>
        <v>5</v>
      </c>
    </row>
    <row r="31" ht="15.75" customHeight="1">
      <c r="A31" s="6">
        <f t="shared" si="1"/>
        <v>11</v>
      </c>
      <c r="B31" s="7" t="str">
        <f>'6. Scoring Engine'!A31</f>
        <v>RH Ferguson Health Center</v>
      </c>
      <c r="C31" s="7" t="str">
        <f>'6. Scoring Engine'!B31</f>
        <v>Montserrado</v>
      </c>
      <c r="D31" s="7" t="str">
        <f t="shared" si="2"/>
        <v>Montserrado</v>
      </c>
      <c r="E31" s="6" t="str">
        <f>'6. Scoring Engine'!C31</f>
        <v>Health Center</v>
      </c>
      <c r="F31" s="6">
        <f>'6. Scoring Engine'!AH31</f>
        <v>2</v>
      </c>
      <c r="G31" s="6">
        <f>'6. Scoring Engine'!AI31</f>
        <v>1</v>
      </c>
      <c r="H31" s="6">
        <f>'6. Scoring Engine'!AJ31</f>
        <v>2</v>
      </c>
      <c r="I31" s="6">
        <f>'6. Scoring Engine'!AK31</f>
        <v>2</v>
      </c>
      <c r="J31" s="6">
        <f>'6. Scoring Engine'!AL31</f>
        <v>2</v>
      </c>
      <c r="K31" s="6">
        <f>'6. Scoring Engine'!AM31</f>
        <v>2</v>
      </c>
      <c r="L31" s="6">
        <f>'6. Scoring Engine'!AW31</f>
        <v>60.7</v>
      </c>
      <c r="M31" s="40" t="str">
        <f>'6. Scoring Engine'!AX31</f>
        <v>Tier 2</v>
      </c>
      <c r="N31" s="6" t="str">
        <f>'6. Scoring Engine'!AY31</f>
        <v>Wave 2</v>
      </c>
      <c r="O31" s="7" t="str">
        <f>'6. Scoring Engine'!AU31</f>
        <v/>
      </c>
      <c r="P31" s="7" t="str">
        <f>'6. Scoring Engine'!AV31</f>
        <v/>
      </c>
      <c r="Q31" s="6">
        <f>'6. Scoring Engine'!AA31</f>
        <v>66</v>
      </c>
      <c r="R31" s="6">
        <f>'6. Scoring Engine'!AB31</f>
        <v>5</v>
      </c>
      <c r="S31" s="6">
        <f>'6. Scoring Engine'!AD31</f>
        <v>3</v>
      </c>
    </row>
    <row r="32" ht="15.75" customHeight="1">
      <c r="A32" s="6">
        <f t="shared" si="1"/>
        <v>25</v>
      </c>
      <c r="B32" s="7" t="str">
        <f>'6. Scoring Engine'!A32</f>
        <v>Sacleapea Comprehensive Health Center</v>
      </c>
      <c r="C32" s="7" t="str">
        <f>'6. Scoring Engine'!B32</f>
        <v>Nimba</v>
      </c>
      <c r="D32" s="7" t="str">
        <f t="shared" si="2"/>
        <v>Nimba</v>
      </c>
      <c r="E32" s="6" t="str">
        <f>'6. Scoring Engine'!C32</f>
        <v>Health Center</v>
      </c>
      <c r="F32" s="6">
        <f>'6. Scoring Engine'!AH32</f>
        <v>2</v>
      </c>
      <c r="G32" s="6">
        <f>'6. Scoring Engine'!AI32</f>
        <v>0</v>
      </c>
      <c r="H32" s="6">
        <f>'6. Scoring Engine'!AJ32</f>
        <v>2</v>
      </c>
      <c r="I32" s="6">
        <f>'6. Scoring Engine'!AK32</f>
        <v>2</v>
      </c>
      <c r="J32" s="6">
        <f>'6. Scoring Engine'!AL32</f>
        <v>2</v>
      </c>
      <c r="K32" s="6">
        <f>'6. Scoring Engine'!AM32</f>
        <v>2</v>
      </c>
      <c r="L32" s="6">
        <f>'6. Scoring Engine'!AW32</f>
        <v>54.7</v>
      </c>
      <c r="M32" s="40" t="str">
        <f>'6. Scoring Engine'!AX32</f>
        <v>Tier 3</v>
      </c>
      <c r="N32" s="6" t="str">
        <f>'6. Scoring Engine'!AY32</f>
        <v>—</v>
      </c>
      <c r="O32" s="7" t="str">
        <f>'6. Scoring Engine'!AU32</f>
        <v>BLK-02</v>
      </c>
      <c r="P32" s="7" t="str">
        <f>'6. Scoring Engine'!AV32</f>
        <v>BLK-02: No connectivity / &lt;2 Mbps |</v>
      </c>
      <c r="Q32" s="6">
        <f>'6. Scoring Engine'!AA32</f>
        <v>72</v>
      </c>
      <c r="R32" s="6">
        <f>'6. Scoring Engine'!AB32</f>
        <v>6</v>
      </c>
      <c r="S32" s="6">
        <f>'6. Scoring Engine'!AD32</f>
        <v>5</v>
      </c>
    </row>
    <row r="33" ht="15.75" customHeight="1">
      <c r="A33" s="6">
        <f t="shared" si="1"/>
        <v>35</v>
      </c>
      <c r="B33" s="7" t="str">
        <f>'6. Scoring Engine'!A33</f>
        <v>Sarbo Health Center</v>
      </c>
      <c r="C33" s="7" t="str">
        <f>'6. Scoring Engine'!B33</f>
        <v>River Gee</v>
      </c>
      <c r="D33" s="7" t="str">
        <f t="shared" si="2"/>
        <v>Southeast</v>
      </c>
      <c r="E33" s="6" t="str">
        <f>'6. Scoring Engine'!C33</f>
        <v>Health Center</v>
      </c>
      <c r="F33" s="6">
        <f>'6. Scoring Engine'!AH33</f>
        <v>2</v>
      </c>
      <c r="G33" s="6">
        <f>'6. Scoring Engine'!AI33</f>
        <v>0</v>
      </c>
      <c r="H33" s="6">
        <f>'6. Scoring Engine'!AJ33</f>
        <v>0</v>
      </c>
      <c r="I33" s="6">
        <f>'6. Scoring Engine'!AK33</f>
        <v>2</v>
      </c>
      <c r="J33" s="6">
        <f>'6. Scoring Engine'!AL33</f>
        <v>2</v>
      </c>
      <c r="K33" s="6">
        <f>'6. Scoring Engine'!AM33</f>
        <v>2</v>
      </c>
      <c r="L33" s="6">
        <f>'6. Scoring Engine'!AW33</f>
        <v>46</v>
      </c>
      <c r="M33" s="40" t="str">
        <f>'6. Scoring Engine'!AX33</f>
        <v>Tier 3</v>
      </c>
      <c r="N33" s="6" t="str">
        <f>'6. Scoring Engine'!AY33</f>
        <v>—</v>
      </c>
      <c r="O33" s="7" t="str">
        <f>'6. Scoring Engine'!AU33</f>
        <v>BLK-02 BLK-03 BLK-04 BLK-05</v>
      </c>
      <c r="P33" s="7" t="str">
        <f>'6. Scoring Engine'!AV33</f>
        <v>BLK-02: No connectivity / &lt;2 Mbps | BLK-03: Zero computers or tablets | BLK-04: Not reporting to DHIS2 | BLK-05: No IT support |</v>
      </c>
      <c r="Q33" s="6">
        <f>'6. Scoring Engine'!AA33</f>
        <v>66</v>
      </c>
      <c r="R33" s="6">
        <f>'6. Scoring Engine'!AB33</f>
        <v>5</v>
      </c>
      <c r="S33" s="6">
        <f>'6. Scoring Engine'!AD33</f>
        <v>5</v>
      </c>
    </row>
    <row r="34" ht="15.75" customHeight="1">
      <c r="A34" s="6">
        <f t="shared" si="1"/>
        <v>11</v>
      </c>
      <c r="B34" s="7" t="str">
        <f>'6. Scoring Engine'!A34</f>
        <v>Sinje Health Center</v>
      </c>
      <c r="C34" s="7" t="str">
        <f>'6. Scoring Engine'!B34</f>
        <v>Grand Cape Mount</v>
      </c>
      <c r="D34" s="7" t="str">
        <f t="shared" si="2"/>
        <v>Grand Cape Mount</v>
      </c>
      <c r="E34" s="6" t="str">
        <f>'6. Scoring Engine'!C34</f>
        <v>Health Center</v>
      </c>
      <c r="F34" s="6">
        <f>'6. Scoring Engine'!AH34</f>
        <v>2</v>
      </c>
      <c r="G34" s="6">
        <f>'6. Scoring Engine'!AI34</f>
        <v>1</v>
      </c>
      <c r="H34" s="6">
        <f>'6. Scoring Engine'!AJ34</f>
        <v>2</v>
      </c>
      <c r="I34" s="6">
        <f>'6. Scoring Engine'!AK34</f>
        <v>2</v>
      </c>
      <c r="J34" s="6">
        <f>'6. Scoring Engine'!AL34</f>
        <v>2</v>
      </c>
      <c r="K34" s="6">
        <f>'6. Scoring Engine'!AM34</f>
        <v>2</v>
      </c>
      <c r="L34" s="6">
        <f>'6. Scoring Engine'!AW34</f>
        <v>60.7</v>
      </c>
      <c r="M34" s="40" t="str">
        <f>'6. Scoring Engine'!AX34</f>
        <v>Tier 2</v>
      </c>
      <c r="N34" s="6" t="str">
        <f>'6. Scoring Engine'!AY34</f>
        <v>Wave 2</v>
      </c>
      <c r="O34" s="7" t="str">
        <f>'6. Scoring Engine'!AU34</f>
        <v/>
      </c>
      <c r="P34" s="7" t="str">
        <f>'6. Scoring Engine'!AV34</f>
        <v/>
      </c>
      <c r="Q34" s="6">
        <f>'6. Scoring Engine'!AA34</f>
        <v>78</v>
      </c>
      <c r="R34" s="6">
        <f>'6. Scoring Engine'!AB34</f>
        <v>5</v>
      </c>
      <c r="S34" s="6">
        <f>'6. Scoring Engine'!AD34</f>
        <v>5</v>
      </c>
    </row>
    <row r="35" ht="15.75" customHeight="1">
      <c r="A35" s="6">
        <f t="shared" si="1"/>
        <v>11</v>
      </c>
      <c r="B35" s="7" t="str">
        <f>'6. Scoring Engine'!A35</f>
        <v>Soniwen Health Center</v>
      </c>
      <c r="C35" s="7" t="str">
        <f>'6. Scoring Engine'!B35</f>
        <v>Montserrado</v>
      </c>
      <c r="D35" s="7" t="str">
        <f t="shared" si="2"/>
        <v>Montserrado</v>
      </c>
      <c r="E35" s="6" t="str">
        <f>'6. Scoring Engine'!C35</f>
        <v>Health Center</v>
      </c>
      <c r="F35" s="6">
        <f>'6. Scoring Engine'!AH35</f>
        <v>2</v>
      </c>
      <c r="G35" s="6">
        <f>'6. Scoring Engine'!AI35</f>
        <v>1</v>
      </c>
      <c r="H35" s="6">
        <f>'6. Scoring Engine'!AJ35</f>
        <v>2</v>
      </c>
      <c r="I35" s="6">
        <f>'6. Scoring Engine'!AK35</f>
        <v>2</v>
      </c>
      <c r="J35" s="6">
        <f>'6. Scoring Engine'!AL35</f>
        <v>2</v>
      </c>
      <c r="K35" s="6">
        <f>'6. Scoring Engine'!AM35</f>
        <v>2</v>
      </c>
      <c r="L35" s="6">
        <f>'6. Scoring Engine'!AW35</f>
        <v>60.7</v>
      </c>
      <c r="M35" s="40" t="str">
        <f>'6. Scoring Engine'!AX35</f>
        <v>Tier 2</v>
      </c>
      <c r="N35" s="6" t="str">
        <f>'6. Scoring Engine'!AY35</f>
        <v>Wave 2</v>
      </c>
      <c r="O35" s="7" t="str">
        <f>'6. Scoring Engine'!AU35</f>
        <v/>
      </c>
      <c r="P35" s="7" t="str">
        <f>'6. Scoring Engine'!AV35</f>
        <v/>
      </c>
      <c r="Q35" s="6">
        <f>'6. Scoring Engine'!AA35</f>
        <v>66</v>
      </c>
      <c r="R35" s="6">
        <f>'6. Scoring Engine'!AB35</f>
        <v>5</v>
      </c>
      <c r="S35" s="6">
        <f>'6. Scoring Engine'!AD35</f>
        <v>7</v>
      </c>
    </row>
    <row r="36" ht="15.75" customHeight="1">
      <c r="A36" s="6">
        <f t="shared" si="1"/>
        <v>36</v>
      </c>
      <c r="B36" s="7" t="str">
        <f>'6. Scoring Engine'!A36</f>
        <v>Unification Town Health Center</v>
      </c>
      <c r="C36" s="7" t="str">
        <f>'6. Scoring Engine'!B36</f>
        <v>Margibi</v>
      </c>
      <c r="D36" s="7" t="str">
        <f t="shared" si="2"/>
        <v>Margibi</v>
      </c>
      <c r="E36" s="6" t="str">
        <f>'6. Scoring Engine'!C36</f>
        <v>Health Center</v>
      </c>
      <c r="F36" s="6">
        <f>'6. Scoring Engine'!AH36</f>
        <v>1</v>
      </c>
      <c r="G36" s="6">
        <f>'6. Scoring Engine'!AI36</f>
        <v>2</v>
      </c>
      <c r="H36" s="6">
        <f>'6. Scoring Engine'!AJ36</f>
        <v>0</v>
      </c>
      <c r="I36" s="6">
        <f>'6. Scoring Engine'!AK36</f>
        <v>1</v>
      </c>
      <c r="J36" s="6">
        <f>'6. Scoring Engine'!AL36</f>
        <v>2</v>
      </c>
      <c r="K36" s="6">
        <f>'6. Scoring Engine'!AM36</f>
        <v>2</v>
      </c>
      <c r="L36" s="6">
        <f>'6. Scoring Engine'!AW36</f>
        <v>43.3</v>
      </c>
      <c r="M36" s="40" t="str">
        <f>'6. Scoring Engine'!AX36</f>
        <v>Tier 3</v>
      </c>
      <c r="N36" s="6" t="str">
        <f>'6. Scoring Engine'!AY36</f>
        <v>—</v>
      </c>
      <c r="O36" s="7" t="str">
        <f>'6. Scoring Engine'!AU36</f>
        <v>BLK-03 BLK-04 BLK-05</v>
      </c>
      <c r="P36" s="7" t="str">
        <f>'6. Scoring Engine'!AV36</f>
        <v>BLK-03: Zero computers or tablets | BLK-04: Not reporting to DHIS2 | BLK-05: No IT support |</v>
      </c>
      <c r="Q36" s="6">
        <f>'6. Scoring Engine'!AA36</f>
        <v>45</v>
      </c>
      <c r="R36" s="6">
        <f>'6. Scoring Engine'!AB36</f>
        <v>2</v>
      </c>
      <c r="S36" s="6">
        <f>'6. Scoring Engine'!AD36</f>
        <v>3</v>
      </c>
    </row>
    <row r="37" ht="15.75" customHeight="1">
      <c r="A37" s="6">
        <f t="shared" si="1"/>
        <v>6</v>
      </c>
      <c r="B37" s="7" t="str">
        <f>'6. Scoring Engine'!A37</f>
        <v>Vahun Health Center</v>
      </c>
      <c r="C37" s="7" t="str">
        <f>'6. Scoring Engine'!B37</f>
        <v>Nimba</v>
      </c>
      <c r="D37" s="7" t="str">
        <f t="shared" si="2"/>
        <v>Nimba</v>
      </c>
      <c r="E37" s="6" t="str">
        <f>'6. Scoring Engine'!C37</f>
        <v>Health Center</v>
      </c>
      <c r="F37" s="6">
        <f>'6. Scoring Engine'!AH37</f>
        <v>2</v>
      </c>
      <c r="G37" s="6">
        <f>'6. Scoring Engine'!AI37</f>
        <v>2</v>
      </c>
      <c r="H37" s="6">
        <f>'6. Scoring Engine'!AJ37</f>
        <v>2</v>
      </c>
      <c r="I37" s="6">
        <f>'6. Scoring Engine'!AK37</f>
        <v>2</v>
      </c>
      <c r="J37" s="6">
        <f>'6. Scoring Engine'!AL37</f>
        <v>2</v>
      </c>
      <c r="K37" s="6">
        <f>'6. Scoring Engine'!AM37</f>
        <v>2</v>
      </c>
      <c r="L37" s="6">
        <f>'6. Scoring Engine'!AW37</f>
        <v>66.7</v>
      </c>
      <c r="M37" s="40" t="str">
        <f>'6. Scoring Engine'!AX37</f>
        <v>Tier 2</v>
      </c>
      <c r="N37" s="6" t="str">
        <f>'6. Scoring Engine'!AY37</f>
        <v>Wave 2</v>
      </c>
      <c r="O37" s="7" t="str">
        <f>'6. Scoring Engine'!AU37</f>
        <v/>
      </c>
      <c r="P37" s="7" t="str">
        <f>'6. Scoring Engine'!AV37</f>
        <v/>
      </c>
      <c r="Q37" s="6">
        <f>'6. Scoring Engine'!AA37</f>
        <v>84</v>
      </c>
      <c r="R37" s="6">
        <f>'6. Scoring Engine'!AB37</f>
        <v>5</v>
      </c>
      <c r="S37" s="6">
        <f>'6. Scoring Engine'!AD37</f>
        <v>6</v>
      </c>
    </row>
    <row r="38" ht="15.75" customHeight="1">
      <c r="A38" s="6">
        <f t="shared" si="1"/>
        <v>11</v>
      </c>
      <c r="B38" s="7" t="str">
        <f>'6. Scoring Engine'!A38</f>
        <v>WAHO  Health Center</v>
      </c>
      <c r="C38" s="7" t="str">
        <f>'6. Scoring Engine'!B38</f>
        <v>Grand Cape Mount</v>
      </c>
      <c r="D38" s="7" t="str">
        <f t="shared" si="2"/>
        <v>Grand Cape Mount</v>
      </c>
      <c r="E38" s="6" t="str">
        <f>'6. Scoring Engine'!C38</f>
        <v>Health Center</v>
      </c>
      <c r="F38" s="6">
        <f>'6. Scoring Engine'!AH38</f>
        <v>2</v>
      </c>
      <c r="G38" s="6">
        <f>'6. Scoring Engine'!AI38</f>
        <v>1</v>
      </c>
      <c r="H38" s="6">
        <f>'6. Scoring Engine'!AJ38</f>
        <v>2</v>
      </c>
      <c r="I38" s="6">
        <f>'6. Scoring Engine'!AK38</f>
        <v>2</v>
      </c>
      <c r="J38" s="6">
        <f>'6. Scoring Engine'!AL38</f>
        <v>2</v>
      </c>
      <c r="K38" s="6">
        <f>'6. Scoring Engine'!AM38</f>
        <v>2</v>
      </c>
      <c r="L38" s="6">
        <f>'6. Scoring Engine'!AW38</f>
        <v>60.7</v>
      </c>
      <c r="M38" s="40" t="str">
        <f>'6. Scoring Engine'!AX38</f>
        <v>Tier 3</v>
      </c>
      <c r="N38" s="6" t="str">
        <f>'6. Scoring Engine'!AY38</f>
        <v>—</v>
      </c>
      <c r="O38" s="7" t="str">
        <f>'6. Scoring Engine'!AU38</f>
        <v>BLK-04</v>
      </c>
      <c r="P38" s="7" t="str">
        <f>'6. Scoring Engine'!AV38</f>
        <v>BLK-04: Not reporting to DHIS2 |</v>
      </c>
      <c r="Q38" s="6">
        <f>'6. Scoring Engine'!AA38</f>
        <v>73</v>
      </c>
      <c r="R38" s="6">
        <f>'6. Scoring Engine'!AB38</f>
        <v>6</v>
      </c>
      <c r="S38" s="6">
        <f>'6. Scoring Engine'!AD38</f>
        <v>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38">
    <cfRule type="cellIs" dxfId="0" priority="1" operator="equal">
      <formula>"Tier 1"</formula>
    </cfRule>
  </conditionalFormatting>
  <conditionalFormatting sqref="M2:M38">
    <cfRule type="cellIs" dxfId="1" priority="2" operator="equal">
      <formula>"Tier 2"</formula>
    </cfRule>
  </conditionalFormatting>
  <conditionalFormatting sqref="M2:M38">
    <cfRule type="cellIs" dxfId="2" priority="3" operator="equal">
      <formula>"Tier 3"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1.0"/>
    <col customWidth="1" min="3" max="3" width="13.0"/>
    <col customWidth="1" min="4" max="6" width="8.0"/>
    <col customWidth="1" min="7" max="12" width="9.0"/>
    <col customWidth="1" min="13" max="26" width="8.71"/>
  </cols>
  <sheetData>
    <row r="1">
      <c r="A1" s="16" t="s">
        <v>40</v>
      </c>
      <c r="B1" s="16" t="s">
        <v>267</v>
      </c>
      <c r="C1" s="16" t="s">
        <v>268</v>
      </c>
      <c r="D1" s="16" t="s">
        <v>269</v>
      </c>
      <c r="E1" s="16" t="s">
        <v>270</v>
      </c>
      <c r="F1" s="16" t="s">
        <v>271</v>
      </c>
      <c r="G1" s="16" t="s">
        <v>272</v>
      </c>
      <c r="H1" s="16" t="s">
        <v>273</v>
      </c>
      <c r="I1" s="16" t="s">
        <v>274</v>
      </c>
      <c r="J1" s="16" t="s">
        <v>275</v>
      </c>
      <c r="K1" s="16" t="s">
        <v>276</v>
      </c>
      <c r="L1" s="16" t="s">
        <v>277</v>
      </c>
    </row>
    <row r="2">
      <c r="A2" s="7" t="s">
        <v>102</v>
      </c>
      <c r="B2" s="6">
        <f>COUNTIF('7. Facility Scorecards'!C:C,A2)</f>
        <v>4</v>
      </c>
      <c r="C2" s="6">
        <f>ROUND(AVERAGEIF('7. Facility Scorecards'!C:C,A2,'7. Facility Scorecards'!L:L),1)</f>
        <v>57.4</v>
      </c>
      <c r="D2" s="6">
        <f>COUNTIFS('7. Facility Scorecards'!C:C,A2,'7. Facility Scorecards'!M:M,"Tier 1")</f>
        <v>0</v>
      </c>
      <c r="E2" s="6">
        <f>COUNTIFS('7. Facility Scorecards'!C:C,A2,'7. Facility Scorecards'!M:M,"Tier 2")</f>
        <v>1</v>
      </c>
      <c r="F2" s="6">
        <f>COUNTIFS('7. Facility Scorecards'!C:C,A2,'7. Facility Scorecards'!M:M,"Tier 3")</f>
        <v>3</v>
      </c>
      <c r="G2" s="6">
        <f>ROUND(AVERAGEIF('7. Facility Scorecards'!C:C,A2,'7. Facility Scorecards'!F:F),2)</f>
        <v>1.75</v>
      </c>
      <c r="H2" s="6">
        <f>ROUND(AVERAGEIF('7. Facility Scorecards'!C:C,A2,'7. Facility Scorecards'!G:G),2)</f>
        <v>1.25</v>
      </c>
      <c r="I2" s="6">
        <f>ROUND(AVERAGEIF('7. Facility Scorecards'!C:C,A2,'7. Facility Scorecards'!H:H),2)</f>
        <v>1.5</v>
      </c>
      <c r="J2" s="6">
        <f>ROUND(AVERAGEIF('7. Facility Scorecards'!C:C,A2,'7. Facility Scorecards'!I:I),2)</f>
        <v>2</v>
      </c>
      <c r="K2" s="6">
        <f>ROUND(AVERAGEIF('7. Facility Scorecards'!C:C,A2,'7. Facility Scorecards'!J:J),2)</f>
        <v>2</v>
      </c>
      <c r="L2" s="6">
        <f>ROUND(AVERAGEIF('7. Facility Scorecards'!C:C,A2,'7. Facility Scorecards'!K:K),2)</f>
        <v>1.75</v>
      </c>
    </row>
    <row r="3">
      <c r="A3" s="7" t="s">
        <v>117</v>
      </c>
      <c r="B3" s="6">
        <f>COUNTIF('7. Facility Scorecards'!C:C,A3)</f>
        <v>2</v>
      </c>
      <c r="C3" s="6">
        <f>ROUND(AVERAGEIF('7. Facility Scorecards'!C:C,A3,'7. Facility Scorecards'!L:L),1)</f>
        <v>53.4</v>
      </c>
      <c r="D3" s="6">
        <f>COUNTIFS('7. Facility Scorecards'!C:C,A3,'7. Facility Scorecards'!M:M,"Tier 1")</f>
        <v>0</v>
      </c>
      <c r="E3" s="6">
        <f>COUNTIFS('7. Facility Scorecards'!C:C,A3,'7. Facility Scorecards'!M:M,"Tier 2")</f>
        <v>0</v>
      </c>
      <c r="F3" s="6">
        <f>COUNTIFS('7. Facility Scorecards'!C:C,A3,'7. Facility Scorecards'!M:M,"Tier 3")</f>
        <v>2</v>
      </c>
      <c r="G3" s="6">
        <f>ROUND(AVERAGEIF('7. Facility Scorecards'!C:C,A3,'7. Facility Scorecards'!F:F),2)</f>
        <v>2</v>
      </c>
      <c r="H3" s="6">
        <f>ROUND(AVERAGEIF('7. Facility Scorecards'!C:C,A3,'7. Facility Scorecards'!G:G),2)</f>
        <v>1.5</v>
      </c>
      <c r="I3" s="6">
        <f>ROUND(AVERAGEIF('7. Facility Scorecards'!C:C,A3,'7. Facility Scorecards'!H:H),2)</f>
        <v>0</v>
      </c>
      <c r="J3" s="6">
        <f>ROUND(AVERAGEIF('7. Facility Scorecards'!C:C,A3,'7. Facility Scorecards'!I:I),2)</f>
        <v>2</v>
      </c>
      <c r="K3" s="6">
        <f>ROUND(AVERAGEIF('7. Facility Scorecards'!C:C,A3,'7. Facility Scorecards'!J:J),2)</f>
        <v>2</v>
      </c>
      <c r="L3" s="6">
        <f>ROUND(AVERAGEIF('7. Facility Scorecards'!C:C,A3,'7. Facility Scorecards'!K:K),2)</f>
        <v>1.5</v>
      </c>
    </row>
    <row r="4">
      <c r="A4" s="7" t="s">
        <v>111</v>
      </c>
      <c r="B4" s="6">
        <f>COUNTIF('7. Facility Scorecards'!C:C,A4)</f>
        <v>2</v>
      </c>
      <c r="C4" s="6">
        <f>ROUND(AVERAGEIF('7. Facility Scorecards'!C:C,A4,'7. Facility Scorecards'!L:L),1)</f>
        <v>54.7</v>
      </c>
      <c r="D4" s="6">
        <f>COUNTIFS('7. Facility Scorecards'!C:C,A4,'7. Facility Scorecards'!M:M,"Tier 1")</f>
        <v>0</v>
      </c>
      <c r="E4" s="6">
        <f>COUNTIFS('7. Facility Scorecards'!C:C,A4,'7. Facility Scorecards'!M:M,"Tier 2")</f>
        <v>0</v>
      </c>
      <c r="F4" s="6">
        <f>COUNTIFS('7. Facility Scorecards'!C:C,A4,'7. Facility Scorecards'!M:M,"Tier 3")</f>
        <v>2</v>
      </c>
      <c r="G4" s="6">
        <f>ROUND(AVERAGEIF('7. Facility Scorecards'!C:C,A4,'7. Facility Scorecards'!F:F),2)</f>
        <v>2</v>
      </c>
      <c r="H4" s="6">
        <f>ROUND(AVERAGEIF('7. Facility Scorecards'!C:C,A4,'7. Facility Scorecards'!G:G),2)</f>
        <v>0</v>
      </c>
      <c r="I4" s="6">
        <f>ROUND(AVERAGEIF('7. Facility Scorecards'!C:C,A4,'7. Facility Scorecards'!H:H),2)</f>
        <v>2</v>
      </c>
      <c r="J4" s="6">
        <f>ROUND(AVERAGEIF('7. Facility Scorecards'!C:C,A4,'7. Facility Scorecards'!I:I),2)</f>
        <v>2</v>
      </c>
      <c r="K4" s="6">
        <f>ROUND(AVERAGEIF('7. Facility Scorecards'!C:C,A4,'7. Facility Scorecards'!J:J),2)</f>
        <v>2</v>
      </c>
      <c r="L4" s="6">
        <f>ROUND(AVERAGEIF('7. Facility Scorecards'!C:C,A4,'7. Facility Scorecards'!K:K),2)</f>
        <v>2</v>
      </c>
    </row>
    <row r="5">
      <c r="A5" s="7" t="s">
        <v>99</v>
      </c>
      <c r="B5" s="6">
        <f>COUNTIF('7. Facility Scorecards'!C:C,A5)</f>
        <v>7</v>
      </c>
      <c r="C5" s="6">
        <f>ROUND(AVERAGEIF('7. Facility Scorecards'!C:C,A5,'7. Facility Scorecards'!L:L),1)</f>
        <v>59.6</v>
      </c>
      <c r="D5" s="6">
        <f>COUNTIFS('7. Facility Scorecards'!C:C,A5,'7. Facility Scorecards'!M:M,"Tier 1")</f>
        <v>0</v>
      </c>
      <c r="E5" s="6">
        <f>COUNTIFS('7. Facility Scorecards'!C:C,A5,'7. Facility Scorecards'!M:M,"Tier 2")</f>
        <v>2</v>
      </c>
      <c r="F5" s="6">
        <f>COUNTIFS('7. Facility Scorecards'!C:C,A5,'7. Facility Scorecards'!M:M,"Tier 3")</f>
        <v>5</v>
      </c>
      <c r="G5" s="6">
        <f>ROUND(AVERAGEIF('7. Facility Scorecards'!C:C,A5,'7. Facility Scorecards'!F:F),2)</f>
        <v>1.86</v>
      </c>
      <c r="H5" s="6">
        <f>ROUND(AVERAGEIF('7. Facility Scorecards'!C:C,A5,'7. Facility Scorecards'!G:G),2)</f>
        <v>2</v>
      </c>
      <c r="I5" s="6">
        <f>ROUND(AVERAGEIF('7. Facility Scorecards'!C:C,A5,'7. Facility Scorecards'!H:H),2)</f>
        <v>0.86</v>
      </c>
      <c r="J5" s="6">
        <f>ROUND(AVERAGEIF('7. Facility Scorecards'!C:C,A5,'7. Facility Scorecards'!I:I),2)</f>
        <v>1.86</v>
      </c>
      <c r="K5" s="6">
        <f>ROUND(AVERAGEIF('7. Facility Scorecards'!C:C,A5,'7. Facility Scorecards'!J:J),2)</f>
        <v>2</v>
      </c>
      <c r="L5" s="6">
        <f>ROUND(AVERAGEIF('7. Facility Scorecards'!C:C,A5,'7. Facility Scorecards'!K:K),2)</f>
        <v>2</v>
      </c>
    </row>
    <row r="6">
      <c r="A6" s="7" t="s">
        <v>125</v>
      </c>
      <c r="B6" s="6">
        <f>COUNTIF('7. Facility Scorecards'!C:C,A6)</f>
        <v>2</v>
      </c>
      <c r="C6" s="6">
        <f>ROUND(AVERAGEIF('7. Facility Scorecards'!C:C,A6,'7. Facility Scorecards'!L:L),1)</f>
        <v>62.4</v>
      </c>
      <c r="D6" s="6">
        <f>COUNTIFS('7. Facility Scorecards'!C:C,A6,'7. Facility Scorecards'!M:M,"Tier 1")</f>
        <v>0</v>
      </c>
      <c r="E6" s="6">
        <f>COUNTIFS('7. Facility Scorecards'!C:C,A6,'7. Facility Scorecards'!M:M,"Tier 2")</f>
        <v>0</v>
      </c>
      <c r="F6" s="6">
        <f>COUNTIFS('7. Facility Scorecards'!C:C,A6,'7. Facility Scorecards'!M:M,"Tier 3")</f>
        <v>2</v>
      </c>
      <c r="G6" s="6">
        <f>ROUND(AVERAGEIF('7. Facility Scorecards'!C:C,A6,'7. Facility Scorecards'!F:F),2)</f>
        <v>2</v>
      </c>
      <c r="H6" s="6">
        <f>ROUND(AVERAGEIF('7. Facility Scorecards'!C:C,A6,'7. Facility Scorecards'!G:G),2)</f>
        <v>1</v>
      </c>
      <c r="I6" s="6">
        <f>ROUND(AVERAGEIF('7. Facility Scorecards'!C:C,A6,'7. Facility Scorecards'!H:H),2)</f>
        <v>2</v>
      </c>
      <c r="J6" s="6">
        <f>ROUND(AVERAGEIF('7. Facility Scorecards'!C:C,A6,'7. Facility Scorecards'!I:I),2)</f>
        <v>2</v>
      </c>
      <c r="K6" s="6">
        <f>ROUND(AVERAGEIF('7. Facility Scorecards'!C:C,A6,'7. Facility Scorecards'!J:J),2)</f>
        <v>2</v>
      </c>
      <c r="L6" s="6">
        <f>ROUND(AVERAGEIF('7. Facility Scorecards'!C:C,A6,'7. Facility Scorecards'!K:K),2)</f>
        <v>2.5</v>
      </c>
    </row>
    <row r="7">
      <c r="A7" s="7" t="s">
        <v>84</v>
      </c>
      <c r="B7" s="6">
        <f>COUNTIF('7. Facility Scorecards'!C:C,A7)</f>
        <v>12</v>
      </c>
      <c r="C7" s="6">
        <f>ROUND(AVERAGEIF('7. Facility Scorecards'!C:C,A7,'7. Facility Scorecards'!L:L),1)</f>
        <v>61.4</v>
      </c>
      <c r="D7" s="6">
        <f>COUNTIFS('7. Facility Scorecards'!C:C,A7,'7. Facility Scorecards'!M:M,"Tier 1")</f>
        <v>0</v>
      </c>
      <c r="E7" s="6">
        <f>COUNTIFS('7. Facility Scorecards'!C:C,A7,'7. Facility Scorecards'!M:M,"Tier 2")</f>
        <v>8</v>
      </c>
      <c r="F7" s="6">
        <f>COUNTIFS('7. Facility Scorecards'!C:C,A7,'7. Facility Scorecards'!M:M,"Tier 3")</f>
        <v>4</v>
      </c>
      <c r="G7" s="6">
        <f>ROUND(AVERAGEIF('7. Facility Scorecards'!C:C,A7,'7. Facility Scorecards'!F:F),2)</f>
        <v>1.75</v>
      </c>
      <c r="H7" s="6">
        <f>ROUND(AVERAGEIF('7. Facility Scorecards'!C:C,A7,'7. Facility Scorecards'!G:G),2)</f>
        <v>1.5</v>
      </c>
      <c r="I7" s="6">
        <f>ROUND(AVERAGEIF('7. Facility Scorecards'!C:C,A7,'7. Facility Scorecards'!H:H),2)</f>
        <v>1.75</v>
      </c>
      <c r="J7" s="6">
        <f>ROUND(AVERAGEIF('7. Facility Scorecards'!C:C,A7,'7. Facility Scorecards'!I:I),2)</f>
        <v>2.08</v>
      </c>
      <c r="K7" s="6">
        <f>ROUND(AVERAGEIF('7. Facility Scorecards'!C:C,A7,'7. Facility Scorecards'!J:J),2)</f>
        <v>2</v>
      </c>
      <c r="L7" s="6">
        <f>ROUND(AVERAGEIF('7. Facility Scorecards'!C:C,A7,'7. Facility Scorecards'!K:K),2)</f>
        <v>2</v>
      </c>
    </row>
    <row r="8">
      <c r="A8" s="7" t="s">
        <v>68</v>
      </c>
      <c r="B8" s="6">
        <f>COUNTIF('7. Facility Scorecards'!C:C,A8)</f>
        <v>5</v>
      </c>
      <c r="C8" s="6">
        <f>ROUND(AVERAGEIF('7. Facility Scorecards'!C:C,A8,'7. Facility Scorecards'!L:L),1)</f>
        <v>61.6</v>
      </c>
      <c r="D8" s="6">
        <f>COUNTIFS('7. Facility Scorecards'!C:C,A8,'7. Facility Scorecards'!M:M,"Tier 1")</f>
        <v>1</v>
      </c>
      <c r="E8" s="6">
        <f>COUNTIFS('7. Facility Scorecards'!C:C,A8,'7. Facility Scorecards'!M:M,"Tier 2")</f>
        <v>1</v>
      </c>
      <c r="F8" s="6">
        <f>COUNTIFS('7. Facility Scorecards'!C:C,A8,'7. Facility Scorecards'!M:M,"Tier 3")</f>
        <v>3</v>
      </c>
      <c r="G8" s="6">
        <f>ROUND(AVERAGEIF('7. Facility Scorecards'!C:C,A8,'7. Facility Scorecards'!F:F),2)</f>
        <v>2</v>
      </c>
      <c r="H8" s="6">
        <f>ROUND(AVERAGEIF('7. Facility Scorecards'!C:C,A8,'7. Facility Scorecards'!G:G),2)</f>
        <v>1</v>
      </c>
      <c r="I8" s="6">
        <f>ROUND(AVERAGEIF('7. Facility Scorecards'!C:C,A8,'7. Facility Scorecards'!H:H),2)</f>
        <v>2.2</v>
      </c>
      <c r="J8" s="6">
        <f>ROUND(AVERAGEIF('7. Facility Scorecards'!C:C,A8,'7. Facility Scorecards'!I:I),2)</f>
        <v>2</v>
      </c>
      <c r="K8" s="6">
        <f>ROUND(AVERAGEIF('7. Facility Scorecards'!C:C,A8,'7. Facility Scorecards'!J:J),2)</f>
        <v>2</v>
      </c>
      <c r="L8" s="6">
        <f>ROUND(AVERAGEIF('7. Facility Scorecards'!C:C,A8,'7. Facility Scorecards'!K:K),2)</f>
        <v>2</v>
      </c>
    </row>
    <row r="9">
      <c r="A9" s="7" t="s">
        <v>90</v>
      </c>
      <c r="B9" s="6">
        <f>COUNTIF('7. Facility Scorecards'!C:C,A9)</f>
        <v>1</v>
      </c>
      <c r="C9" s="6">
        <f>ROUND(AVERAGEIF('7. Facility Scorecards'!C:C,A9,'7. Facility Scorecards'!L:L),1)</f>
        <v>53.3</v>
      </c>
      <c r="D9" s="6">
        <f>COUNTIFS('7. Facility Scorecards'!C:C,A9,'7. Facility Scorecards'!M:M,"Tier 1")</f>
        <v>0</v>
      </c>
      <c r="E9" s="6">
        <f>COUNTIFS('7. Facility Scorecards'!C:C,A9,'7. Facility Scorecards'!M:M,"Tier 2")</f>
        <v>1</v>
      </c>
      <c r="F9" s="6">
        <f>COUNTIFS('7. Facility Scorecards'!C:C,A9,'7. Facility Scorecards'!M:M,"Tier 3")</f>
        <v>0</v>
      </c>
      <c r="G9" s="6">
        <f>ROUND(AVERAGEIF('7. Facility Scorecards'!C:C,A9,'7. Facility Scorecards'!F:F),2)</f>
        <v>1</v>
      </c>
      <c r="H9" s="6">
        <f>ROUND(AVERAGEIF('7. Facility Scorecards'!C:C,A9,'7. Facility Scorecards'!G:G),2)</f>
        <v>1</v>
      </c>
      <c r="I9" s="6">
        <f>ROUND(AVERAGEIF('7. Facility Scorecards'!C:C,A9,'7. Facility Scorecards'!H:H),2)</f>
        <v>2</v>
      </c>
      <c r="J9" s="6">
        <f>ROUND(AVERAGEIF('7. Facility Scorecards'!C:C,A9,'7. Facility Scorecards'!I:I),2)</f>
        <v>2</v>
      </c>
      <c r="K9" s="6">
        <f>ROUND(AVERAGEIF('7. Facility Scorecards'!C:C,A9,'7. Facility Scorecards'!J:J),2)</f>
        <v>2</v>
      </c>
      <c r="L9" s="6">
        <f>ROUND(AVERAGEIF('7. Facility Scorecards'!C:C,A9,'7. Facility Scorecards'!K:K),2)</f>
        <v>2</v>
      </c>
    </row>
    <row r="10">
      <c r="A10" s="7" t="s">
        <v>119</v>
      </c>
      <c r="B10" s="6">
        <f>COUNTIF('7. Facility Scorecards'!C:C,A10)</f>
        <v>2</v>
      </c>
      <c r="C10" s="6">
        <f>ROUND(AVERAGEIF('7. Facility Scorecards'!C:C,A10,'7. Facility Scorecards'!L:L),1)</f>
        <v>51</v>
      </c>
      <c r="D10" s="6">
        <f>COUNTIFS('7. Facility Scorecards'!C:C,A10,'7. Facility Scorecards'!M:M,"Tier 1")</f>
        <v>0</v>
      </c>
      <c r="E10" s="6">
        <f>COUNTIFS('7. Facility Scorecards'!C:C,A10,'7. Facility Scorecards'!M:M,"Tier 2")</f>
        <v>0</v>
      </c>
      <c r="F10" s="6">
        <f>COUNTIFS('7. Facility Scorecards'!C:C,A10,'7. Facility Scorecards'!M:M,"Tier 3")</f>
        <v>2</v>
      </c>
      <c r="G10" s="6">
        <f>ROUND(AVERAGEIF('7. Facility Scorecards'!C:C,A10,'7. Facility Scorecards'!F:F),2)</f>
        <v>1.5</v>
      </c>
      <c r="H10" s="6">
        <f>ROUND(AVERAGEIF('7. Facility Scorecards'!C:C,A10,'7. Facility Scorecards'!G:G),2)</f>
        <v>1</v>
      </c>
      <c r="I10" s="6">
        <f>ROUND(AVERAGEIF('7. Facility Scorecards'!C:C,A10,'7. Facility Scorecards'!H:H),2)</f>
        <v>1</v>
      </c>
      <c r="J10" s="6">
        <f>ROUND(AVERAGEIF('7. Facility Scorecards'!C:C,A10,'7. Facility Scorecards'!I:I),2)</f>
        <v>2</v>
      </c>
      <c r="K10" s="6">
        <f>ROUND(AVERAGEIF('7. Facility Scorecards'!C:C,A10,'7. Facility Scorecards'!J:J),2)</f>
        <v>2</v>
      </c>
      <c r="L10" s="6">
        <f>ROUND(AVERAGEIF('7. Facility Scorecards'!C:C,A10,'7. Facility Scorecards'!K:K),2)</f>
        <v>1.5</v>
      </c>
    </row>
    <row r="11">
      <c r="A11" s="41" t="s">
        <v>278</v>
      </c>
      <c r="B11" s="42">
        <f>SUM(B2:B10)</f>
        <v>37</v>
      </c>
      <c r="C11" s="42">
        <f>ROUND(AVERAGE('7. Facility Scorecards'!L2:L38),1)</f>
        <v>59.1</v>
      </c>
      <c r="D11" s="42">
        <f t="shared" ref="D11:F11" si="1">SUM(D2:D10)</f>
        <v>1</v>
      </c>
      <c r="E11" s="42">
        <f t="shared" si="1"/>
        <v>13</v>
      </c>
      <c r="F11" s="42">
        <f t="shared" si="1"/>
        <v>23</v>
      </c>
      <c r="G11" s="42">
        <f>ROUND(AVERAGE('7. Facility Scorecards'!F2:F38),2)</f>
        <v>1.81</v>
      </c>
      <c r="H11" s="42">
        <f>ROUND(AVERAGE('7. Facility Scorecards'!G2:G38),2)</f>
        <v>1.35</v>
      </c>
      <c r="I11" s="42">
        <f>ROUND(AVERAGE('7. Facility Scorecards'!H2:H38),2)</f>
        <v>1.51</v>
      </c>
      <c r="J11" s="42">
        <f>ROUND(AVERAGE('7. Facility Scorecards'!I2:I38),2)</f>
        <v>2</v>
      </c>
      <c r="K11" s="42">
        <f>ROUND(AVERAGE('7. Facility Scorecards'!J2:J38),2)</f>
        <v>2</v>
      </c>
      <c r="L11" s="42">
        <f>ROUND(AVERAGE('7. Facility Scorecards'!K2:K38),2)</f>
        <v>1.95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1.0"/>
    <col customWidth="1" min="3" max="3" width="13.0"/>
    <col customWidth="1" min="4" max="6" width="8.0"/>
    <col customWidth="1" min="7" max="12" width="9.0"/>
    <col customWidth="1" min="13" max="26" width="8.71"/>
  </cols>
  <sheetData>
    <row r="1">
      <c r="A1" s="16" t="s">
        <v>254</v>
      </c>
      <c r="B1" s="16" t="s">
        <v>267</v>
      </c>
      <c r="C1" s="16" t="s">
        <v>268</v>
      </c>
      <c r="D1" s="16" t="s">
        <v>269</v>
      </c>
      <c r="E1" s="16" t="s">
        <v>270</v>
      </c>
      <c r="F1" s="16" t="s">
        <v>271</v>
      </c>
      <c r="G1" s="16" t="s">
        <v>272</v>
      </c>
      <c r="H1" s="16" t="s">
        <v>273</v>
      </c>
      <c r="I1" s="16" t="s">
        <v>274</v>
      </c>
      <c r="J1" s="16" t="s">
        <v>275</v>
      </c>
      <c r="K1" s="16" t="s">
        <v>276</v>
      </c>
      <c r="L1" s="16" t="s">
        <v>277</v>
      </c>
    </row>
    <row r="2">
      <c r="A2" s="7" t="s">
        <v>84</v>
      </c>
      <c r="B2" s="6">
        <f>COUNTIF('7. Facility Scorecards'!D:D,A2)</f>
        <v>12</v>
      </c>
      <c r="C2" s="6">
        <f>IFERROR(ROUND(AVERAGEIF('7. Facility Scorecards'!D:D,A2,'7. Facility Scorecards'!L:L),1),"-")</f>
        <v>61.4</v>
      </c>
      <c r="D2" s="6">
        <f>COUNTIFS('7. Facility Scorecards'!D:D,A2,'7. Facility Scorecards'!M:M,"Tier 1")</f>
        <v>0</v>
      </c>
      <c r="E2" s="6">
        <f>COUNTIFS('7. Facility Scorecards'!D:D,A2,'7. Facility Scorecards'!M:M,"Tier 2")</f>
        <v>8</v>
      </c>
      <c r="F2" s="6">
        <f>COUNTIFS('7. Facility Scorecards'!D:D,A2,'7. Facility Scorecards'!M:M,"Tier 3")</f>
        <v>4</v>
      </c>
      <c r="G2" s="6">
        <f>IFERROR(ROUND(AVERAGEIF('7. Facility Scorecards'!D:D,A2,'7. Facility Scorecards'!F:F),2),"-")</f>
        <v>1.75</v>
      </c>
      <c r="H2" s="6">
        <f>IFERROR(ROUND(AVERAGEIF('7. Facility Scorecards'!D:D,A2,'7. Facility Scorecards'!G:G),2),"-")</f>
        <v>1.5</v>
      </c>
      <c r="I2" s="6">
        <f>IFERROR(ROUND(AVERAGEIF('7. Facility Scorecards'!D:D,A2,'7. Facility Scorecards'!H:H),2),"-")</f>
        <v>1.75</v>
      </c>
      <c r="J2" s="6">
        <f>IFERROR(ROUND(AVERAGEIF('7. Facility Scorecards'!D:D,A2,'7. Facility Scorecards'!I:I),2),"-")</f>
        <v>2.08</v>
      </c>
      <c r="K2" s="6">
        <f>IFERROR(ROUND(AVERAGEIF('7. Facility Scorecards'!D:D,A2,'7. Facility Scorecards'!J:J),2),"-")</f>
        <v>2</v>
      </c>
      <c r="L2" s="6">
        <f>IFERROR(ROUND(AVERAGEIF('7. Facility Scorecards'!D:D,A2,'7. Facility Scorecards'!K:K),2),"-")</f>
        <v>2</v>
      </c>
    </row>
    <row r="3">
      <c r="A3" s="7" t="s">
        <v>99</v>
      </c>
      <c r="B3" s="6">
        <f>COUNTIF('7. Facility Scorecards'!D:D,A3)</f>
        <v>7</v>
      </c>
      <c r="C3" s="6">
        <f>IFERROR(ROUND(AVERAGEIF('7. Facility Scorecards'!D:D,A3,'7. Facility Scorecards'!L:L),1),"-")</f>
        <v>59.6</v>
      </c>
      <c r="D3" s="6">
        <f>COUNTIFS('7. Facility Scorecards'!D:D,A3,'7. Facility Scorecards'!M:M,"Tier 1")</f>
        <v>0</v>
      </c>
      <c r="E3" s="6">
        <f>COUNTIFS('7. Facility Scorecards'!D:D,A3,'7. Facility Scorecards'!M:M,"Tier 2")</f>
        <v>2</v>
      </c>
      <c r="F3" s="6">
        <f>COUNTIFS('7. Facility Scorecards'!D:D,A3,'7. Facility Scorecards'!M:M,"Tier 3")</f>
        <v>5</v>
      </c>
      <c r="G3" s="6">
        <f>IFERROR(ROUND(AVERAGEIF('7. Facility Scorecards'!D:D,A3,'7. Facility Scorecards'!F:F),2),"-")</f>
        <v>1.86</v>
      </c>
      <c r="H3" s="6">
        <f>IFERROR(ROUND(AVERAGEIF('7. Facility Scorecards'!D:D,A3,'7. Facility Scorecards'!G:G),2),"-")</f>
        <v>2</v>
      </c>
      <c r="I3" s="6">
        <f>IFERROR(ROUND(AVERAGEIF('7. Facility Scorecards'!D:D,A3,'7. Facility Scorecards'!H:H),2),"-")</f>
        <v>0.86</v>
      </c>
      <c r="J3" s="6">
        <f>IFERROR(ROUND(AVERAGEIF('7. Facility Scorecards'!D:D,A3,'7. Facility Scorecards'!I:I),2),"-")</f>
        <v>1.86</v>
      </c>
      <c r="K3" s="6">
        <f>IFERROR(ROUND(AVERAGEIF('7. Facility Scorecards'!D:D,A3,'7. Facility Scorecards'!J:J),2),"-")</f>
        <v>2</v>
      </c>
      <c r="L3" s="6">
        <f>IFERROR(ROUND(AVERAGEIF('7. Facility Scorecards'!D:D,A3,'7. Facility Scorecards'!K:K),2),"-")</f>
        <v>2</v>
      </c>
    </row>
    <row r="4">
      <c r="A4" s="43" t="s">
        <v>102</v>
      </c>
      <c r="B4" s="6">
        <f>COUNTIF('7. Facility Scorecards'!D:D,A4)</f>
        <v>4</v>
      </c>
      <c r="C4" s="6">
        <f>IFERROR(ROUND(AVERAGEIF('7. Facility Scorecards'!D:D,A4,'7. Facility Scorecards'!L:L),1),"-")</f>
        <v>57.4</v>
      </c>
      <c r="D4" s="6">
        <f>COUNTIFS('7. Facility Scorecards'!D:D,A4,'7. Facility Scorecards'!M:M,"Tier 1")</f>
        <v>0</v>
      </c>
      <c r="E4" s="6">
        <f>COUNTIFS('7. Facility Scorecards'!D:D,A4,'7. Facility Scorecards'!M:M,"Tier 2")</f>
        <v>1</v>
      </c>
      <c r="F4" s="6">
        <f>COUNTIFS('7. Facility Scorecards'!D:D,A4,'7. Facility Scorecards'!M:M,"Tier 3")</f>
        <v>3</v>
      </c>
      <c r="G4" s="6">
        <f>IFERROR(ROUND(AVERAGEIF('7. Facility Scorecards'!D:D,A4,'7. Facility Scorecards'!F:F),2),"-")</f>
        <v>1.75</v>
      </c>
      <c r="H4" s="6">
        <f>IFERROR(ROUND(AVERAGEIF('7. Facility Scorecards'!D:D,A4,'7. Facility Scorecards'!G:G),2),"-")</f>
        <v>1.25</v>
      </c>
      <c r="I4" s="6">
        <f>IFERROR(ROUND(AVERAGEIF('7. Facility Scorecards'!D:D,A4,'7. Facility Scorecards'!H:H),2),"-")</f>
        <v>1.5</v>
      </c>
      <c r="J4" s="6">
        <f>IFERROR(ROUND(AVERAGEIF('7. Facility Scorecards'!D:D,A4,'7. Facility Scorecards'!I:I),2),"-")</f>
        <v>2</v>
      </c>
      <c r="K4" s="6">
        <f>IFERROR(ROUND(AVERAGEIF('7. Facility Scorecards'!D:D,A4,'7. Facility Scorecards'!J:J),2),"-")</f>
        <v>2</v>
      </c>
      <c r="L4" s="6">
        <f>IFERROR(ROUND(AVERAGEIF('7. Facility Scorecards'!D:D,A4,'7. Facility Scorecards'!K:K),2),"-")</f>
        <v>1.75</v>
      </c>
    </row>
    <row r="5">
      <c r="A5" s="7" t="s">
        <v>111</v>
      </c>
      <c r="B5" s="6">
        <f>COUNTIF('7. Facility Scorecards'!D:D,A5)</f>
        <v>2</v>
      </c>
      <c r="C5" s="6">
        <f>IFERROR(ROUND(AVERAGEIF('7. Facility Scorecards'!D:D,A5,'7. Facility Scorecards'!L:L),1),"-")</f>
        <v>54.7</v>
      </c>
      <c r="D5" s="6">
        <f>COUNTIFS('7. Facility Scorecards'!D:D,A5,'7. Facility Scorecards'!M:M,"Tier 1")</f>
        <v>0</v>
      </c>
      <c r="E5" s="6">
        <f>COUNTIFS('7. Facility Scorecards'!D:D,A5,'7. Facility Scorecards'!M:M,"Tier 2")</f>
        <v>0</v>
      </c>
      <c r="F5" s="6">
        <f>COUNTIFS('7. Facility Scorecards'!D:D,A5,'7. Facility Scorecards'!M:M,"Tier 3")</f>
        <v>2</v>
      </c>
      <c r="G5" s="6">
        <f>IFERROR(ROUND(AVERAGEIF('7. Facility Scorecards'!D:D,A5,'7. Facility Scorecards'!F:F),2),"-")</f>
        <v>2</v>
      </c>
      <c r="H5" s="6">
        <f>IFERROR(ROUND(AVERAGEIF('7. Facility Scorecards'!D:D,A5,'7. Facility Scorecards'!G:G),2),"-")</f>
        <v>0</v>
      </c>
      <c r="I5" s="6">
        <f>IFERROR(ROUND(AVERAGEIF('7. Facility Scorecards'!D:D,A5,'7. Facility Scorecards'!H:H),2),"-")</f>
        <v>2</v>
      </c>
      <c r="J5" s="6">
        <f>IFERROR(ROUND(AVERAGEIF('7. Facility Scorecards'!D:D,A5,'7. Facility Scorecards'!I:I),2),"-")</f>
        <v>2</v>
      </c>
      <c r="K5" s="6">
        <f>IFERROR(ROUND(AVERAGEIF('7. Facility Scorecards'!D:D,A5,'7. Facility Scorecards'!J:J),2),"-")</f>
        <v>2</v>
      </c>
      <c r="L5" s="6">
        <f>IFERROR(ROUND(AVERAGEIF('7. Facility Scorecards'!D:D,A5,'7. Facility Scorecards'!K:K),2),"-")</f>
        <v>2</v>
      </c>
    </row>
    <row r="6">
      <c r="A6" s="43" t="s">
        <v>68</v>
      </c>
      <c r="B6" s="6">
        <f>COUNTIF('7. Facility Scorecards'!D:D,A6)</f>
        <v>5</v>
      </c>
      <c r="C6" s="6">
        <f>IFERROR(ROUND(AVERAGEIF('7. Facility Scorecards'!D:D,A6,'7. Facility Scorecards'!L:L),1),"-")</f>
        <v>61.6</v>
      </c>
      <c r="D6" s="6">
        <f>COUNTIFS('7. Facility Scorecards'!D:D,A6,'7. Facility Scorecards'!M:M,"Tier 1")</f>
        <v>1</v>
      </c>
      <c r="E6" s="6">
        <f>COUNTIFS('7. Facility Scorecards'!D:D,A6,'7. Facility Scorecards'!M:M,"Tier 2")</f>
        <v>1</v>
      </c>
      <c r="F6" s="6">
        <f>COUNTIFS('7. Facility Scorecards'!D:D,A6,'7. Facility Scorecards'!M:M,"Tier 3")</f>
        <v>3</v>
      </c>
      <c r="G6" s="6">
        <f>IFERROR(ROUND(AVERAGEIF('7. Facility Scorecards'!D:D,A6,'7. Facility Scorecards'!F:F),2),"-")</f>
        <v>2</v>
      </c>
      <c r="H6" s="6">
        <f>IFERROR(ROUND(AVERAGEIF('7. Facility Scorecards'!D:D,A6,'7. Facility Scorecards'!G:G),2),"-")</f>
        <v>1</v>
      </c>
      <c r="I6" s="6">
        <f>IFERROR(ROUND(AVERAGEIF('7. Facility Scorecards'!D:D,A6,'7. Facility Scorecards'!H:H),2),"-")</f>
        <v>2.2</v>
      </c>
      <c r="J6" s="6">
        <f>IFERROR(ROUND(AVERAGEIF('7. Facility Scorecards'!D:D,A6,'7. Facility Scorecards'!I:I),2),"-")</f>
        <v>2</v>
      </c>
      <c r="K6" s="6">
        <f>IFERROR(ROUND(AVERAGEIF('7. Facility Scorecards'!D:D,A6,'7. Facility Scorecards'!J:J),2),"-")</f>
        <v>2</v>
      </c>
      <c r="L6" s="6">
        <f>IFERROR(ROUND(AVERAGEIF('7. Facility Scorecards'!D:D,A6,'7. Facility Scorecards'!K:K),2),"-")</f>
        <v>2</v>
      </c>
    </row>
    <row r="7">
      <c r="A7" s="7" t="s">
        <v>279</v>
      </c>
      <c r="B7" s="6">
        <f>COUNTIF('7. Facility Scorecards'!D:D,A7)</f>
        <v>7</v>
      </c>
      <c r="C7" s="6">
        <f>IFERROR(ROUND(AVERAGEIF('7. Facility Scorecards'!D:D,A7,'7. Facility Scorecards'!L:L),1),"-")</f>
        <v>55.2</v>
      </c>
      <c r="D7" s="6">
        <f>COUNTIFS('7. Facility Scorecards'!D:D,A7,'7. Facility Scorecards'!M:M,"Tier 1")</f>
        <v>0</v>
      </c>
      <c r="E7" s="6">
        <f>COUNTIFS('7. Facility Scorecards'!D:D,A7,'7. Facility Scorecards'!M:M,"Tier 2")</f>
        <v>1</v>
      </c>
      <c r="F7" s="6">
        <f>COUNTIFS('7. Facility Scorecards'!D:D,A7,'7. Facility Scorecards'!M:M,"Tier 3")</f>
        <v>6</v>
      </c>
      <c r="G7" s="6">
        <f>IFERROR(ROUND(AVERAGEIF('7. Facility Scorecards'!D:D,A7,'7. Facility Scorecards'!F:F),2),"-")</f>
        <v>1.71</v>
      </c>
      <c r="H7" s="6">
        <f>IFERROR(ROUND(AVERAGEIF('7. Facility Scorecards'!D:D,A7,'7. Facility Scorecards'!G:G),2),"-")</f>
        <v>1.14</v>
      </c>
      <c r="I7" s="6">
        <f>IFERROR(ROUND(AVERAGEIF('7. Facility Scorecards'!D:D,A7,'7. Facility Scorecards'!H:H),2),"-")</f>
        <v>1.14</v>
      </c>
      <c r="J7" s="6">
        <f>IFERROR(ROUND(AVERAGEIF('7. Facility Scorecards'!D:D,A7,'7. Facility Scorecards'!I:I),2),"-")</f>
        <v>2</v>
      </c>
      <c r="K7" s="6">
        <f>IFERROR(ROUND(AVERAGEIF('7. Facility Scorecards'!D:D,A7,'7. Facility Scorecards'!J:J),2),"-")</f>
        <v>2</v>
      </c>
      <c r="L7" s="6">
        <f>IFERROR(ROUND(AVERAGEIF('7. Facility Scorecards'!D:D,A7,'7. Facility Scorecards'!K:K),2),"-")</f>
        <v>1.86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5.0"/>
    <col customWidth="1" min="3" max="3" width="11.0"/>
    <col customWidth="1" min="4" max="4" width="8.0"/>
    <col customWidth="1" min="5" max="5" width="22.0"/>
    <col customWidth="1" min="6" max="6" width="48.0"/>
    <col customWidth="1" min="7" max="26" width="8.71"/>
  </cols>
  <sheetData>
    <row r="1">
      <c r="A1" s="16" t="s">
        <v>39</v>
      </c>
      <c r="B1" s="16" t="s">
        <v>40</v>
      </c>
      <c r="C1" s="16" t="s">
        <v>261</v>
      </c>
      <c r="D1" s="16" t="s">
        <v>262</v>
      </c>
      <c r="E1" s="16" t="s">
        <v>280</v>
      </c>
      <c r="F1" s="16" t="s">
        <v>281</v>
      </c>
    </row>
    <row r="2">
      <c r="A2" s="44" t="str">
        <f>'6. Scoring Engine'!A30</f>
        <v>Pleebo Health Center</v>
      </c>
      <c r="B2" s="44" t="str">
        <f>'6. Scoring Engine'!B30</f>
        <v>Maryland</v>
      </c>
      <c r="C2" s="45">
        <f>'6. Scoring Engine'!AW30</f>
        <v>70</v>
      </c>
      <c r="D2" s="46" t="str">
        <f>'6. Scoring Engine'!AX30</f>
        <v>Tier 3</v>
      </c>
      <c r="E2" s="44" t="str">
        <f>'6. Scoring Engine'!AU30</f>
        <v>BLK-05</v>
      </c>
      <c r="F2" s="7" t="s">
        <v>282</v>
      </c>
    </row>
    <row r="3">
      <c r="A3" s="44" t="str">
        <f>'6. Scoring Engine'!A10</f>
        <v>Dolo's Town Health Center</v>
      </c>
      <c r="B3" s="44" t="str">
        <f>'6. Scoring Engine'!B10</f>
        <v>Margibi</v>
      </c>
      <c r="C3" s="45">
        <f>'6. Scoring Engine'!AW10</f>
        <v>66.7</v>
      </c>
      <c r="D3" s="46" t="str">
        <f>'6. Scoring Engine'!AX10</f>
        <v>Tier 3</v>
      </c>
      <c r="E3" s="44" t="str">
        <f>'6. Scoring Engine'!AU10</f>
        <v>BLK-05</v>
      </c>
      <c r="F3" s="7" t="s">
        <v>282</v>
      </c>
    </row>
    <row r="4">
      <c r="A4" s="44" t="str">
        <f>'6. Scoring Engine'!A11</f>
        <v>Dr. Agnes Varis Health Center</v>
      </c>
      <c r="B4" s="44" t="str">
        <f>'6. Scoring Engine'!B11</f>
        <v>Montserrado</v>
      </c>
      <c r="C4" s="45">
        <f>'6. Scoring Engine'!AW11</f>
        <v>66.7</v>
      </c>
      <c r="D4" s="46" t="str">
        <f>'6. Scoring Engine'!AX11</f>
        <v>Tier 3</v>
      </c>
      <c r="E4" s="44" t="str">
        <f>'6. Scoring Engine'!AU11</f>
        <v>BLK-04 BLK-05</v>
      </c>
      <c r="F4" s="7" t="s">
        <v>283</v>
      </c>
    </row>
    <row r="5">
      <c r="A5" s="44" t="str">
        <f>'6. Scoring Engine'!A12</f>
        <v>Duport Road Health Center</v>
      </c>
      <c r="B5" s="44" t="str">
        <f>'6. Scoring Engine'!B12</f>
        <v>Montserrado</v>
      </c>
      <c r="C5" s="45">
        <f>'6. Scoring Engine'!AW12</f>
        <v>66.7</v>
      </c>
      <c r="D5" s="46" t="str">
        <f>'6. Scoring Engine'!AX12</f>
        <v>Tier 3</v>
      </c>
      <c r="E5" s="44" t="str">
        <f>'6. Scoring Engine'!AU12</f>
        <v>BLK-04</v>
      </c>
      <c r="F5" s="7" t="s">
        <v>284</v>
      </c>
    </row>
    <row r="6">
      <c r="A6" s="44" t="str">
        <f>'6. Scoring Engine'!A38</f>
        <v>WAHO  Health Center</v>
      </c>
      <c r="B6" s="44" t="str">
        <f>'6. Scoring Engine'!B38</f>
        <v>Grand Cape Mount</v>
      </c>
      <c r="C6" s="45">
        <f>'6. Scoring Engine'!AW38</f>
        <v>60.7</v>
      </c>
      <c r="D6" s="46" t="str">
        <f>'6. Scoring Engine'!AX38</f>
        <v>Tier 3</v>
      </c>
      <c r="E6" s="44" t="str">
        <f>'6. Scoring Engine'!AU38</f>
        <v>BLK-04</v>
      </c>
      <c r="F6" s="7" t="s">
        <v>284</v>
      </c>
    </row>
    <row r="7">
      <c r="A7" s="44" t="str">
        <f>'6. Scoring Engine'!A8</f>
        <v>Cotton Tree Health Center</v>
      </c>
      <c r="B7" s="44" t="str">
        <f>'6. Scoring Engine'!B8</f>
        <v>Margibi</v>
      </c>
      <c r="C7" s="45">
        <f>'6. Scoring Engine'!AW8</f>
        <v>58</v>
      </c>
      <c r="D7" s="46" t="str">
        <f>'6. Scoring Engine'!AX8</f>
        <v>Tier 3</v>
      </c>
      <c r="E7" s="44" t="str">
        <f>'6. Scoring Engine'!AU8</f>
        <v>BLK-03 BLK-05</v>
      </c>
      <c r="F7" s="7" t="s">
        <v>285</v>
      </c>
    </row>
    <row r="8">
      <c r="A8" s="44" t="str">
        <f>'6. Scoring Engine'!A15</f>
        <v>Garzon Health Center</v>
      </c>
      <c r="B8" s="44" t="str">
        <f>'6. Scoring Engine'!B15</f>
        <v>Margibi</v>
      </c>
      <c r="C8" s="45">
        <f>'6. Scoring Engine'!AW15</f>
        <v>58</v>
      </c>
      <c r="D8" s="46" t="str">
        <f>'6. Scoring Engine'!AX15</f>
        <v>Tier 3</v>
      </c>
      <c r="E8" s="44" t="str">
        <f>'6. Scoring Engine'!AU15</f>
        <v>BLK-03 BLK-05</v>
      </c>
      <c r="F8" s="7" t="s">
        <v>285</v>
      </c>
    </row>
    <row r="9">
      <c r="A9" s="44" t="str">
        <f>'6. Scoring Engine'!A16</f>
        <v>Gbarzon Health Center</v>
      </c>
      <c r="B9" s="44" t="str">
        <f>'6. Scoring Engine'!B16</f>
        <v>Grand Gedeh</v>
      </c>
      <c r="C9" s="45">
        <f>'6. Scoring Engine'!AW16</f>
        <v>58</v>
      </c>
      <c r="D9" s="46" t="str">
        <f>'6. Scoring Engine'!AX16</f>
        <v>Tier 3</v>
      </c>
      <c r="E9" s="44" t="str">
        <f>'6. Scoring Engine'!AU16</f>
        <v>BLK-03</v>
      </c>
      <c r="F9" s="7" t="s">
        <v>286</v>
      </c>
    </row>
    <row r="10">
      <c r="A10" s="44" t="str">
        <f>'6. Scoring Engine'!A25</f>
        <v>Marshall Health Center</v>
      </c>
      <c r="B10" s="44" t="str">
        <f>'6. Scoring Engine'!B25</f>
        <v>Margibi</v>
      </c>
      <c r="C10" s="45">
        <f>'6. Scoring Engine'!AW25</f>
        <v>58</v>
      </c>
      <c r="D10" s="46" t="str">
        <f>'6. Scoring Engine'!AX25</f>
        <v>Tier 3</v>
      </c>
      <c r="E10" s="44" t="str">
        <f>'6. Scoring Engine'!AU25</f>
        <v>BLK-03 BLK-05</v>
      </c>
      <c r="F10" s="7" t="s">
        <v>285</v>
      </c>
    </row>
    <row r="11">
      <c r="A11" s="44" t="str">
        <f>'6. Scoring Engine'!A9</f>
        <v>Damballa Health Center</v>
      </c>
      <c r="B11" s="44" t="str">
        <f>'6. Scoring Engine'!B9</f>
        <v>Grand Cape Mount</v>
      </c>
      <c r="C11" s="45">
        <f>'6. Scoring Engine'!AW9</f>
        <v>57.3</v>
      </c>
      <c r="D11" s="46" t="str">
        <f>'6. Scoring Engine'!AX9</f>
        <v>Tier 3</v>
      </c>
      <c r="E11" s="44" t="str">
        <f>'6. Scoring Engine'!AU9</f>
        <v>BLK-05</v>
      </c>
      <c r="F11" s="7" t="s">
        <v>282</v>
      </c>
    </row>
    <row r="12">
      <c r="A12" s="44" t="str">
        <f>'6. Scoring Engine'!A17</f>
        <v>Gbeapo Health Center</v>
      </c>
      <c r="B12" s="44" t="str">
        <f>'6. Scoring Engine'!B17</f>
        <v>River Gee</v>
      </c>
      <c r="C12" s="45">
        <f>'6. Scoring Engine'!AW17</f>
        <v>56</v>
      </c>
      <c r="D12" s="46" t="str">
        <f>'6. Scoring Engine'!AX17</f>
        <v>Tier 3</v>
      </c>
      <c r="E12" s="44" t="str">
        <f>'6. Scoring Engine'!AU17</f>
        <v>BLK-04 BLK-05</v>
      </c>
      <c r="F12" s="7" t="s">
        <v>283</v>
      </c>
    </row>
    <row r="13">
      <c r="A13" s="44" t="str">
        <f>'6. Scoring Engine'!A13</f>
        <v>Foya  Health Center</v>
      </c>
      <c r="B13" s="44" t="str">
        <f>'6. Scoring Engine'!B13</f>
        <v>Lofa</v>
      </c>
      <c r="C13" s="45">
        <f>'6. Scoring Engine'!AW13</f>
        <v>54.7</v>
      </c>
      <c r="D13" s="46" t="str">
        <f>'6. Scoring Engine'!AX13</f>
        <v>Tier 3</v>
      </c>
      <c r="E13" s="44" t="str">
        <f>'6. Scoring Engine'!AU13</f>
        <v>BLK-02</v>
      </c>
      <c r="F13" s="7" t="s">
        <v>287</v>
      </c>
    </row>
    <row r="14">
      <c r="A14" s="44" t="str">
        <f>'6. Scoring Engine'!A14</f>
        <v>GW Harley Hospital</v>
      </c>
      <c r="B14" s="44" t="str">
        <f>'6. Scoring Engine'!B14</f>
        <v>Nimba</v>
      </c>
      <c r="C14" s="45">
        <f>'6. Scoring Engine'!AW14</f>
        <v>54.7</v>
      </c>
      <c r="D14" s="46" t="str">
        <f>'6. Scoring Engine'!AX14</f>
        <v>Tier 3</v>
      </c>
      <c r="E14" s="44" t="str">
        <f>'6. Scoring Engine'!AU14</f>
        <v>BLK-02</v>
      </c>
      <c r="F14" s="7" t="s">
        <v>287</v>
      </c>
    </row>
    <row r="15">
      <c r="A15" s="44" t="str">
        <f>'6. Scoring Engine'!A19</f>
        <v>JJ Dossen Hospital</v>
      </c>
      <c r="B15" s="44" t="str">
        <f>'6. Scoring Engine'!B19</f>
        <v>Maryland</v>
      </c>
      <c r="C15" s="45">
        <f>'6. Scoring Engine'!AW19</f>
        <v>54.7</v>
      </c>
      <c r="D15" s="46" t="str">
        <f>'6. Scoring Engine'!AX19</f>
        <v>Tier 3</v>
      </c>
      <c r="E15" s="44" t="str">
        <f>'6. Scoring Engine'!AU19</f>
        <v>BLK-02 BLK-05</v>
      </c>
      <c r="F15" s="7" t="s">
        <v>288</v>
      </c>
    </row>
    <row r="16">
      <c r="A16" s="44" t="str">
        <f>'6. Scoring Engine'!A21</f>
        <v>Karnplay Health Center</v>
      </c>
      <c r="B16" s="44" t="str">
        <f>'6. Scoring Engine'!B21</f>
        <v>Nimba</v>
      </c>
      <c r="C16" s="45">
        <f>'6. Scoring Engine'!AW21</f>
        <v>54.7</v>
      </c>
      <c r="D16" s="46" t="str">
        <f>'6. Scoring Engine'!AX21</f>
        <v>Tier 3</v>
      </c>
      <c r="E16" s="44" t="str">
        <f>'6. Scoring Engine'!AU21</f>
        <v>BLK-02</v>
      </c>
      <c r="F16" s="7" t="s">
        <v>287</v>
      </c>
    </row>
    <row r="17">
      <c r="A17" s="44" t="str">
        <f>'6. Scoring Engine'!A22</f>
        <v>Konia Health Center</v>
      </c>
      <c r="B17" s="44" t="str">
        <f>'6. Scoring Engine'!B22</f>
        <v>Lofa</v>
      </c>
      <c r="C17" s="45">
        <f>'6. Scoring Engine'!AW22</f>
        <v>54.7</v>
      </c>
      <c r="D17" s="46" t="str">
        <f>'6. Scoring Engine'!AX22</f>
        <v>Tier 3</v>
      </c>
      <c r="E17" s="44" t="str">
        <f>'6. Scoring Engine'!AU22</f>
        <v>BLK-02</v>
      </c>
      <c r="F17" s="7" t="s">
        <v>287</v>
      </c>
    </row>
    <row r="18">
      <c r="A18" s="44" t="str">
        <f>'6. Scoring Engine'!A32</f>
        <v>Sacleapea Comprehensive Health Center</v>
      </c>
      <c r="B18" s="44" t="str">
        <f>'6. Scoring Engine'!B32</f>
        <v>Nimba</v>
      </c>
      <c r="C18" s="45">
        <f>'6. Scoring Engine'!AW32</f>
        <v>54.7</v>
      </c>
      <c r="D18" s="46" t="str">
        <f>'6. Scoring Engine'!AX32</f>
        <v>Tier 3</v>
      </c>
      <c r="E18" s="44" t="str">
        <f>'6. Scoring Engine'!AU32</f>
        <v>BLK-02</v>
      </c>
      <c r="F18" s="7" t="s">
        <v>287</v>
      </c>
    </row>
    <row r="19">
      <c r="A19" s="44" t="str">
        <f>'6. Scoring Engine'!A27</f>
        <v>New Georgia Community Health Center</v>
      </c>
      <c r="B19" s="44" t="str">
        <f>'6. Scoring Engine'!B27</f>
        <v>Montserrado</v>
      </c>
      <c r="C19" s="45">
        <f>'6. Scoring Engine'!AW27</f>
        <v>52</v>
      </c>
      <c r="D19" s="46" t="str">
        <f>'6. Scoring Engine'!AX27</f>
        <v>Tier 3</v>
      </c>
      <c r="E19" s="44" t="str">
        <f>'6. Scoring Engine'!AU27</f>
        <v>BLK-03</v>
      </c>
      <c r="F19" s="7" t="s">
        <v>286</v>
      </c>
    </row>
    <row r="20">
      <c r="A20" s="44" t="str">
        <f>'6. Scoring Engine'!A24</f>
        <v>Lofa Bridge Health Center</v>
      </c>
      <c r="B20" s="44" t="str">
        <f>'6. Scoring Engine'!B24</f>
        <v>Grand Cape Mount</v>
      </c>
      <c r="C20" s="45">
        <f>'6. Scoring Engine'!AW24</f>
        <v>50.7</v>
      </c>
      <c r="D20" s="46" t="str">
        <f>'6. Scoring Engine'!AX24</f>
        <v>Tier 3</v>
      </c>
      <c r="E20" s="44" t="str">
        <f>'6. Scoring Engine'!AU24</f>
        <v>BLK-03</v>
      </c>
      <c r="F20" s="7" t="s">
        <v>286</v>
      </c>
    </row>
    <row r="21" ht="15.75" customHeight="1">
      <c r="A21" s="44" t="str">
        <f>'6. Scoring Engine'!A23</f>
        <v>Konobo Health Center</v>
      </c>
      <c r="B21" s="44" t="str">
        <f>'6. Scoring Engine'!B23</f>
        <v>Grand Gedeh</v>
      </c>
      <c r="C21" s="45">
        <f>'6. Scoring Engine'!AW23</f>
        <v>48.7</v>
      </c>
      <c r="D21" s="46" t="str">
        <f>'6. Scoring Engine'!AX23</f>
        <v>Tier 3</v>
      </c>
      <c r="E21" s="44" t="str">
        <f>'6. Scoring Engine'!AU23</f>
        <v>BLK-03 BLK-04 BLK-05</v>
      </c>
      <c r="F21" s="7" t="s">
        <v>289</v>
      </c>
    </row>
    <row r="22" ht="15.75" customHeight="1">
      <c r="A22" s="44" t="str">
        <f>'6. Scoring Engine'!A33</f>
        <v>Sarbo Health Center</v>
      </c>
      <c r="B22" s="44" t="str">
        <f>'6. Scoring Engine'!B33</f>
        <v>River Gee</v>
      </c>
      <c r="C22" s="45">
        <f>'6. Scoring Engine'!AW33</f>
        <v>46</v>
      </c>
      <c r="D22" s="46" t="str">
        <f>'6. Scoring Engine'!AX33</f>
        <v>Tier 3</v>
      </c>
      <c r="E22" s="44" t="str">
        <f>'6. Scoring Engine'!AU33</f>
        <v>BLK-02 BLK-03 BLK-04 BLK-05</v>
      </c>
      <c r="F22" s="7" t="s">
        <v>290</v>
      </c>
    </row>
    <row r="23" ht="15.75" customHeight="1">
      <c r="A23" s="44" t="str">
        <f>'6. Scoring Engine'!A5</f>
        <v>Bromely Community Health Center</v>
      </c>
      <c r="B23" s="44" t="str">
        <f>'6. Scoring Engine'!B5</f>
        <v>Montserrado</v>
      </c>
      <c r="C23" s="45">
        <f>'6. Scoring Engine'!AW5</f>
        <v>43.3</v>
      </c>
      <c r="D23" s="46" t="str">
        <f>'6. Scoring Engine'!AX5</f>
        <v>Tier 3</v>
      </c>
      <c r="E23" s="44" t="str">
        <f>'6. Scoring Engine'!AU5</f>
        <v>BLK-01 BLK-03 BLK-05</v>
      </c>
      <c r="F23" s="7" t="s">
        <v>291</v>
      </c>
    </row>
    <row r="24" ht="15.75" customHeight="1">
      <c r="A24" s="44" t="str">
        <f>'6. Scoring Engine'!A36</f>
        <v>Unification Town Health Center</v>
      </c>
      <c r="B24" s="44" t="str">
        <f>'6. Scoring Engine'!B36</f>
        <v>Margibi</v>
      </c>
      <c r="C24" s="45">
        <f>'6. Scoring Engine'!AW36</f>
        <v>43.3</v>
      </c>
      <c r="D24" s="46" t="str">
        <f>'6. Scoring Engine'!AX36</f>
        <v>Tier 3</v>
      </c>
      <c r="E24" s="44" t="str">
        <f>'6. Scoring Engine'!AU36</f>
        <v>BLK-03 BLK-04 BLK-05</v>
      </c>
      <c r="F24" s="7" t="s">
        <v>289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